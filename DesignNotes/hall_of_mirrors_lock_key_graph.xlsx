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arameters" sheetId="2" state="visible" r:id="rId4"/>
    <sheet name="Switch Graph" sheetId="3" state="visible" r:id="rId5"/>
    <sheet name="Dependencies" sheetId="4" state="visible" r:id="rId6"/>
    <sheet name="Reachability Check" sheetId="5" state="visible" r:id="rId7"/>
    <sheet name="Pacing Mod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<sst xmlns="http://schemas.openxmlformats.org/spreadsheetml/2006/main" count="960" uniqueCount="374">
  <si>
    <t xml:space="preserve">The Hall of Echoing Mirrors - Lock &amp; Key Graph</t>
  </si>
  <si>
    <t xml:space="preserve">Dependency map, reachability check and pacing model for the switch economy. v0.1, greybox.</t>
  </si>
  <si>
    <t xml:space="preserve">What this models</t>
  </si>
  <si>
    <t xml:space="preserve">Mastery makes runs FASTER. Only a new milestone (a switch flipped for the first time) earns gems.</t>
  </si>
  <si>
    <t xml:space="preserve">Gems buy meta attributes. Meta attributes are what let Clara reach the NEXT switch.</t>
  </si>
  <si>
    <t xml:space="preserve">Switch keys sit in other realms, so progress in one realm funds progress in another.</t>
  </si>
  <si>
    <t xml:space="preserve">Sheets</t>
  </si>
  <si>
    <t xml:space="preserve">Parameters      Every tunable number. Blue cells are yours to edit; everything else is a formula.</t>
  </si>
  <si>
    <t xml:space="preserve">Switch Graph    All 63 switches: realm, tier, requirements, rewards, estimated runs.</t>
  </si>
  <si>
    <t xml:space="preserve">Dependencies    The same graph as an edge list (one row per requirement). Use for diagramming.</t>
  </si>
  <si>
    <t xml:space="preserve">Reachability    Open options at every step of the game, with an automatic deadlock check.</t>
  </si>
  <si>
    <t xml:space="preserve">Pacing Model    Total runs and hours, by phase, against your target length.</t>
  </si>
  <si>
    <t xml:space="preserve">How to use it</t>
  </si>
  <si>
    <t xml:space="preserve">1. Open Reachability. Column E must read OK on every row. CHECK means too few or too many options.</t>
  </si>
  <si>
    <t xml:space="preserve">2. Open Pacing Model. Adjust the blue cells in Parameters until total hours lands where you want.</t>
  </si>
  <si>
    <t xml:space="preserve">3. Edit Unlock Step or Flip Step in Switch Graph to re-order the game; Reachability updates live.</t>
  </si>
  <si>
    <t xml:space="preserve">Assumptions you should challenge</t>
  </si>
  <si>
    <t xml:space="preserve">Run counts are estimates, not playtest data. They exist so the model has something to multiply.</t>
  </si>
  <si>
    <t xml:space="preserve">Unlock Step is derived from the Requires column. If you change requirements, update Unlock Step.</t>
  </si>
  <si>
    <t xml:space="preserve">The Open IDs column on Reachability is a snapshot of this layout, not a live formula.</t>
  </si>
  <si>
    <t xml:space="preserve">Steps 61-63 narrow to a single option on purpose: that is the finale funnel.</t>
  </si>
  <si>
    <t xml:space="preserve">Parameters</t>
  </si>
  <si>
    <t xml:space="preserve">Blue cells are inputs. Change these, not the formulas elsewhere.</t>
  </si>
  <si>
    <t xml:space="preserve">RUN COUNTS</t>
  </si>
  <si>
    <t xml:space="preserve">Base runs - minor switch</t>
  </si>
  <si>
    <t xml:space="preserve">Runs to reach and flip a tier-1 minor switch</t>
  </si>
  <si>
    <t xml:space="preserve">Base runs - major switch</t>
  </si>
  <si>
    <t xml:space="preserve">Runs to reach and flip a tier-1 major switch</t>
  </si>
  <si>
    <t xml:space="preserve">Global pacing multiplier</t>
  </si>
  <si>
    <t xml:space="preserve">Scales every switch at once. Your master length dial.</t>
  </si>
  <si>
    <t xml:space="preserve">TIER MULTIPLIERS</t>
  </si>
  <si>
    <t xml:space="preserve">Tier</t>
  </si>
  <si>
    <t xml:space="preserve">Multiplier</t>
  </si>
  <si>
    <t xml:space="preserve">Tier 1 = early, single realm. Tier 2 = first cross-realm weave. Tier 3 = late web.</t>
  </si>
  <si>
    <t xml:space="preserve">RUN LENGTH</t>
  </si>
  <si>
    <t xml:space="preserve">Minutes per run - Early</t>
  </si>
  <si>
    <t xml:space="preserve">Short loops, one realm</t>
  </si>
  <si>
    <t xml:space="preserve">Minutes per run - Mid</t>
  </si>
  <si>
    <t xml:space="preserve">Two or three realms per run</t>
  </si>
  <si>
    <t xml:space="preserve">Minutes per run - Late</t>
  </si>
  <si>
    <t xml:space="preserve">Long routes through the web</t>
  </si>
  <si>
    <t xml:space="preserve">Planning minutes between runs</t>
  </si>
  <si>
    <t xml:space="preserve">Hub time: allocate, re-script, review</t>
  </si>
  <si>
    <t xml:space="preserve">PHASE BOUNDARIES</t>
  </si>
  <si>
    <t xml:space="preserve">Early phase ends at step</t>
  </si>
  <si>
    <t xml:space="preserve">Switch number, not run number</t>
  </si>
  <si>
    <t xml:space="preserve">Mid phase ends at step</t>
  </si>
  <si>
    <t xml:space="preserve">Finale funnel starts at step</t>
  </si>
  <si>
    <t xml:space="preserve">Below this, narrow choice is intentional</t>
  </si>
  <si>
    <t xml:space="preserve">CHOICE WIDTH BAND</t>
  </si>
  <si>
    <t xml:space="preserve">Minimum open options</t>
  </si>
  <si>
    <t xml:space="preserve">Fewer than this is a forced corridor</t>
  </si>
  <si>
    <t xml:space="preserve">Maximum open options - early/mid</t>
  </si>
  <si>
    <t xml:space="preserve">More than this is paralysing early</t>
  </si>
  <si>
    <t xml:space="preserve">Maximum open options - late</t>
  </si>
  <si>
    <t xml:space="preserve">A wide endgame web is the goal</t>
  </si>
  <si>
    <t xml:space="preserve">TARGET LENGTH</t>
  </si>
  <si>
    <t xml:space="preserve">Target hours - low</t>
  </si>
  <si>
    <t xml:space="preserve">From design doc v0.2 section 1</t>
  </si>
  <si>
    <t xml:space="preserve">Target hours - high</t>
  </si>
  <si>
    <t xml:space="preserve">Switch Graph</t>
  </si>
  <si>
    <t xml:space="preserve">One row per switch. Blue columns are inputs. Requires lists prerequisite switch IDs; Unlock Step is the step after the last prerequisite is flipped.</t>
  </si>
  <si>
    <t xml:space="preserve">ID</t>
  </si>
  <si>
    <t xml:space="preserve">Realm</t>
  </si>
  <si>
    <t xml:space="preserve">Switch</t>
  </si>
  <si>
    <t xml:space="preserve">Type</t>
  </si>
  <si>
    <t xml:space="preserve">Requires</t>
  </si>
  <si>
    <t xml:space="preserve">Unlock Step</t>
  </si>
  <si>
    <t xml:space="preserve">Flip Step</t>
  </si>
  <si>
    <t xml:space="preserve">Gems</t>
  </si>
  <si>
    <t xml:space="preserve">Reward / Key granted</t>
  </si>
  <si>
    <t xml:space="preserve">Phase</t>
  </si>
  <si>
    <t xml:space="preserve">Est. Runs</t>
  </si>
  <si>
    <t xml:space="preserve">Min / Run</t>
  </si>
  <si>
    <t xml:space="preserve">Est. Minutes</t>
  </si>
  <si>
    <t xml:space="preserve">RED-1</t>
  </si>
  <si>
    <t xml:space="preserve">Red</t>
  </si>
  <si>
    <t xml:space="preserve">Ember Hearth - kindle a dead hearth</t>
  </si>
  <si>
    <t xml:space="preserve">Minor</t>
  </si>
  <si>
    <t xml:space="preserve">-</t>
  </si>
  <si>
    <t xml:space="preserve">RED-2</t>
  </si>
  <si>
    <t xml:space="preserve">Cracked Lintel - hold a doorframe together</t>
  </si>
  <si>
    <t xml:space="preserve">HALL-1</t>
  </si>
  <si>
    <t xml:space="preserve">Hall</t>
  </si>
  <si>
    <t xml:space="preserve">The Guttering Sconce - relight the corridor</t>
  </si>
  <si>
    <t xml:space="preserve">Hall drain -10%</t>
  </si>
  <si>
    <t xml:space="preserve">RED-3</t>
  </si>
  <si>
    <t xml:space="preserve">The Ash Choir - listen to the burned sing</t>
  </si>
  <si>
    <t xml:space="preserve">RED-4</t>
  </si>
  <si>
    <t xml:space="preserve">Slagged Bell - reforge the clapper</t>
  </si>
  <si>
    <t xml:space="preserve">HUB-1</t>
  </si>
  <si>
    <t xml:space="preserve">Hub</t>
  </si>
  <si>
    <t xml:space="preserve">Roland's Notes I - the first legible page</t>
  </si>
  <si>
    <t xml:space="preserve">Spell: Kindle (Red)</t>
  </si>
  <si>
    <t xml:space="preserve">RED-M1</t>
  </si>
  <si>
    <t xml:space="preserve">The Broken Span - repair the canal bridge</t>
  </si>
  <si>
    <t xml:space="preserve">Major</t>
  </si>
  <si>
    <t xml:space="preserve">RED-2, RED-3</t>
  </si>
  <si>
    <t xml:space="preserve">Opens Red deep ward</t>
  </si>
  <si>
    <t xml:space="preserve">AMB-1</t>
  </si>
  <si>
    <t xml:space="preserve">Amber</t>
  </si>
  <si>
    <t xml:space="preserve">The Clinging Path - unstick her own feet</t>
  </si>
  <si>
    <t xml:space="preserve">AMB-2</t>
  </si>
  <si>
    <t xml:space="preserve">Suspended Rain - walk between the drops</t>
  </si>
  <si>
    <t xml:space="preserve">AMB-3</t>
  </si>
  <si>
    <t xml:space="preserve">The Held Breath - a room that will not exhale</t>
  </si>
  <si>
    <t xml:space="preserve">RED-5</t>
  </si>
  <si>
    <t xml:space="preserve">The Kiln Stair - climb the still-hot flue</t>
  </si>
  <si>
    <t xml:space="preserve">AMB-4</t>
  </si>
  <si>
    <t xml:space="preserve">Resin Ledger - peel a page from the block</t>
  </si>
  <si>
    <t xml:space="preserve">AMB-M1</t>
  </si>
  <si>
    <t xml:space="preserve">The Amber Stair - bind the broken treads</t>
  </si>
  <si>
    <t xml:space="preserve">AMB-2, AMB-3, RED-M1</t>
  </si>
  <si>
    <t xml:space="preserve">Opens Amber deep ward</t>
  </si>
  <si>
    <t xml:space="preserve">YEL-1</t>
  </si>
  <si>
    <t xml:space="preserve">Yellow</t>
  </si>
  <si>
    <t xml:space="preserve">The Last Leaf - hold it on the branch</t>
  </si>
  <si>
    <t xml:space="preserve">YEL-2</t>
  </si>
  <si>
    <t xml:space="preserve">Hollow Orchard - wake one tree</t>
  </si>
  <si>
    <t xml:space="preserve">AMB-5</t>
  </si>
  <si>
    <t xml:space="preserve">The Sealed Casement - unstick a window</t>
  </si>
  <si>
    <t xml:space="preserve">YEL-3</t>
  </si>
  <si>
    <t xml:space="preserve">The Swing - set it moving again</t>
  </si>
  <si>
    <t xml:space="preserve">YEL-4</t>
  </si>
  <si>
    <t xml:space="preserve">Grey Pond - return colour to the water</t>
  </si>
  <si>
    <t xml:space="preserve">YEL-M1</t>
  </si>
  <si>
    <t xml:space="preserve">The Withered Grove - revive the grove</t>
  </si>
  <si>
    <t xml:space="preserve">YEL-2, YEL-3, AMB-M1</t>
  </si>
  <si>
    <t xml:space="preserve">Opens Yellow deep ward</t>
  </si>
  <si>
    <t xml:space="preserve">HUB-2</t>
  </si>
  <si>
    <t xml:space="preserve">Roland's Notes II - the middle ledger</t>
  </si>
  <si>
    <t xml:space="preserve">Spell: Bind (Amber)</t>
  </si>
  <si>
    <t xml:space="preserve">GRN-1</t>
  </si>
  <si>
    <t xml:space="preserve">Green</t>
  </si>
  <si>
    <t xml:space="preserve">Strangled Arbor - cut one path through</t>
  </si>
  <si>
    <t xml:space="preserve">GRN-2</t>
  </si>
  <si>
    <t xml:space="preserve">The Envious Hedge - feed it something else</t>
  </si>
  <si>
    <t xml:space="preserve">YEL-5</t>
  </si>
  <si>
    <t xml:space="preserve">The Cellar Door - reach the root store</t>
  </si>
  <si>
    <t xml:space="preserve">GRN-3</t>
  </si>
  <si>
    <t xml:space="preserve">Seed Vault - open the cold room</t>
  </si>
  <si>
    <t xml:space="preserve">GRN-4</t>
  </si>
  <si>
    <t xml:space="preserve">The Gardener's Shed - read the tool marks</t>
  </si>
  <si>
    <t xml:space="preserve">GRN-M1</t>
  </si>
  <si>
    <t xml:space="preserve">The Overgrown Door - part the estate doors</t>
  </si>
  <si>
    <t xml:space="preserve">GRN-2, GRN-3, YEL-M1</t>
  </si>
  <si>
    <t xml:space="preserve">Opens Green deep ward</t>
  </si>
  <si>
    <t xml:space="preserve">HALL-2</t>
  </si>
  <si>
    <t xml:space="preserve">The Node Map - chart the corridor</t>
  </si>
  <si>
    <t xml:space="preserve">Unlocks node map UI</t>
  </si>
  <si>
    <t xml:space="preserve">BLU-1</t>
  </si>
  <si>
    <t xml:space="preserve">Blue</t>
  </si>
  <si>
    <t xml:space="preserve">The Veiled Portrait - lift one corner</t>
  </si>
  <si>
    <t xml:space="preserve">BLU-2</t>
  </si>
  <si>
    <t xml:space="preserve">Fogged Stair - find the tread beneath</t>
  </si>
  <si>
    <t xml:space="preserve">GRN-5</t>
  </si>
  <si>
    <t xml:space="preserve">The Choked Well - clear the shaft</t>
  </si>
  <si>
    <t xml:space="preserve">BLU-3</t>
  </si>
  <si>
    <t xml:space="preserve">The Muffled Room - make a sound carry</t>
  </si>
  <si>
    <t xml:space="preserve">BLU-4</t>
  </si>
  <si>
    <t xml:space="preserve">The Covered Mirror - uncover it, briefly</t>
  </si>
  <si>
    <t xml:space="preserve">BLU-M1</t>
  </si>
  <si>
    <t xml:space="preserve">The Hidden Wing - expose the sealed corridor</t>
  </si>
  <si>
    <t xml:space="preserve">BLU-2, BLU-3, GRN-M1</t>
  </si>
  <si>
    <t xml:space="preserve">Opens Blue deep ward</t>
  </si>
  <si>
    <t xml:space="preserve">HUB-3</t>
  </si>
  <si>
    <t xml:space="preserve">Roland's Notes III - the burned appendix</t>
  </si>
  <si>
    <t xml:space="preserve">Spell: Approach (Indigo)</t>
  </si>
  <si>
    <t xml:space="preserve">IND-1</t>
  </si>
  <si>
    <t xml:space="preserve">Indigo</t>
  </si>
  <si>
    <t xml:space="preserve">The Lengthening Mile - measure it twice</t>
  </si>
  <si>
    <t xml:space="preserve">IND-2</t>
  </si>
  <si>
    <t xml:space="preserve">Milestone Without a Number - carve one</t>
  </si>
  <si>
    <t xml:space="preserve">BLU-5</t>
  </si>
  <si>
    <t xml:space="preserve">The Servants' Passage - follow it in the dark</t>
  </si>
  <si>
    <t xml:space="preserve">IND-3</t>
  </si>
  <si>
    <t xml:space="preserve">The Turned Signpost - set it right</t>
  </si>
  <si>
    <t xml:space="preserve">IND-4</t>
  </si>
  <si>
    <t xml:space="preserve">The Waiting Coach - persuade the horses</t>
  </si>
  <si>
    <t xml:space="preserve">IND-M1</t>
  </si>
  <si>
    <t xml:space="preserve">The Road That Shortens - draw the way closer</t>
  </si>
  <si>
    <t xml:space="preserve">IND-2, IND-3, BLU-M1</t>
  </si>
  <si>
    <t xml:space="preserve">Opens Indigo deep ward</t>
  </si>
  <si>
    <t xml:space="preserve">VIO-1</t>
  </si>
  <si>
    <t xml:space="preserve">Violet</t>
  </si>
  <si>
    <t xml:space="preserve">The Two Chairs - sit in the second one</t>
  </si>
  <si>
    <t xml:space="preserve">IND-5</t>
  </si>
  <si>
    <t xml:space="preserve">The Toll House - pay what is asked</t>
  </si>
  <si>
    <t xml:space="preserve">VIO-2</t>
  </si>
  <si>
    <t xml:space="preserve">The Shared Cup - drink without taking</t>
  </si>
  <si>
    <t xml:space="preserve">VIO-3</t>
  </si>
  <si>
    <t xml:space="preserve">Echo of a Voice - answer it</t>
  </si>
  <si>
    <t xml:space="preserve">RED-M2</t>
  </si>
  <si>
    <t xml:space="preserve">The Furnace Door - fracture the foundry seal</t>
  </si>
  <si>
    <t xml:space="preserve">RED-M1, AMB-M1</t>
  </si>
  <si>
    <t xml:space="preserve">Spell: Fracture (Red/Amber)</t>
  </si>
  <si>
    <t xml:space="preserve">HALL-3</t>
  </si>
  <si>
    <t xml:space="preserve">The Shortened Corridor - repair the great mirror</t>
  </si>
  <si>
    <t xml:space="preserve">RED-M2, HALL-2</t>
  </si>
  <si>
    <t xml:space="preserve">Hall drain -25%</t>
  </si>
  <si>
    <t xml:space="preserve">AMB-M2</t>
  </si>
  <si>
    <t xml:space="preserve">The Repelled Gate - push apart the fused doors</t>
  </si>
  <si>
    <t xml:space="preserve">AMB-M1, RED-M2</t>
  </si>
  <si>
    <t xml:space="preserve">Key: Resin Lens</t>
  </si>
  <si>
    <t xml:space="preserve">YEL-M2</t>
  </si>
  <si>
    <t xml:space="preserve">The Rot Gate - decay the thorn wall</t>
  </si>
  <si>
    <t xml:space="preserve">YEL-M1, GRN-M1</t>
  </si>
  <si>
    <t xml:space="preserve">Spell: Wither (Yellow/Green)</t>
  </si>
  <si>
    <t xml:space="preserve">GRN-M2</t>
  </si>
  <si>
    <t xml:space="preserve">The Greenhouse Heart - graft the ruined vine</t>
  </si>
  <si>
    <t xml:space="preserve">GRN-M1, AMB-M2</t>
  </si>
  <si>
    <t xml:space="preserve">Key: Gardener's Key</t>
  </si>
  <si>
    <t xml:space="preserve">BLU-M2</t>
  </si>
  <si>
    <t xml:space="preserve">The Exposed Ledger - read what he hid</t>
  </si>
  <si>
    <t xml:space="preserve">BLU-M1, YEL-M2, RED-M2</t>
  </si>
  <si>
    <t xml:space="preserve">Spell: Unveil (Blue/Red)</t>
  </si>
  <si>
    <t xml:space="preserve">IND-M2</t>
  </si>
  <si>
    <t xml:space="preserve">The Dreaded Crossing - cross what he avoided</t>
  </si>
  <si>
    <t xml:space="preserve">IND-M1, GRN-M2</t>
  </si>
  <si>
    <t xml:space="preserve">Key: Wardmont's Seal</t>
  </si>
  <si>
    <t xml:space="preserve">VIO-M1</t>
  </si>
  <si>
    <t xml:space="preserve">The Threshold of Communion - cross it</t>
  </si>
  <si>
    <t xml:space="preserve">VIO-2, VIO-3</t>
  </si>
  <si>
    <t xml:space="preserve">Opens Violet deep ward</t>
  </si>
  <si>
    <t xml:space="preserve">RED-M3</t>
  </si>
  <si>
    <t xml:space="preserve">The Fire That Did Not Stop - quench the cathedral</t>
  </si>
  <si>
    <t xml:space="preserve">RED-M2, YEL-M2, BLU-M1</t>
  </si>
  <si>
    <t xml:space="preserve">Red mastery; Hall shortcut A</t>
  </si>
  <si>
    <t xml:space="preserve">HALL-4</t>
  </si>
  <si>
    <t xml:space="preserve">The Reflected Door - open the hall's own mirror</t>
  </si>
  <si>
    <t xml:space="preserve">HALL-3, BLU-M2</t>
  </si>
  <si>
    <t xml:space="preserve">Direct realm-to-realm travel</t>
  </si>
  <si>
    <t xml:space="preserve">AMB-M3</t>
  </si>
  <si>
    <t xml:space="preserve">The Moment Itself - enter the memory core</t>
  </si>
  <si>
    <t xml:space="preserve">AMB-M2, GRN-M2, YEL-M2</t>
  </si>
  <si>
    <t xml:space="preserve">Amber mastery</t>
  </si>
  <si>
    <t xml:space="preserve">GRN-M3</t>
  </si>
  <si>
    <t xml:space="preserve">The Estate's Root - reach what feeds the garden</t>
  </si>
  <si>
    <t xml:space="preserve">GRN-M2, BLU-M2</t>
  </si>
  <si>
    <t xml:space="preserve">Green mastery</t>
  </si>
  <si>
    <t xml:space="preserve">BLU-M3</t>
  </si>
  <si>
    <t xml:space="preserve">The House Unveiled - strip the fog entire</t>
  </si>
  <si>
    <t xml:space="preserve">BLU-M2, IND-M2</t>
  </si>
  <si>
    <t xml:space="preserve">Blue mastery; Hall shortcut C</t>
  </si>
  <si>
    <t xml:space="preserve">VIO-4</t>
  </si>
  <si>
    <t xml:space="preserve">The Feeding Dark - refuse it once</t>
  </si>
  <si>
    <t xml:space="preserve">YEL-M3</t>
  </si>
  <si>
    <t xml:space="preserve">The Sunless Year - restore the sun</t>
  </si>
  <si>
    <t xml:space="preserve">YEL-M2, RED-M3, IND-M1</t>
  </si>
  <si>
    <t xml:space="preserve">Yellow mastery; Hall shortcut B</t>
  </si>
  <si>
    <t xml:space="preserve">HUB-4</t>
  </si>
  <si>
    <t xml:space="preserve">The Anchor Refaceted - cut the eighth facet</t>
  </si>
  <si>
    <t xml:space="preserve">+1 pathos pool slot</t>
  </si>
  <si>
    <t xml:space="preserve">IND-M3</t>
  </si>
  <si>
    <t xml:space="preserve">The Door at the End - arrive somewhere</t>
  </si>
  <si>
    <t xml:space="preserve">IND-M2, AMB-M3</t>
  </si>
  <si>
    <t xml:space="preserve">Indigo mastery</t>
  </si>
  <si>
    <t xml:space="preserve">VIO-M2</t>
  </si>
  <si>
    <t xml:space="preserve">The Reflection's Table - sit down with him</t>
  </si>
  <si>
    <t xml:space="preserve">VIO-M1, VIO-4, RED-M3, YEL-M3, AMB-M3, GRN-M3, BLU-M3, IND-M3</t>
  </si>
  <si>
    <t xml:space="preserve">FINALE GATE</t>
  </si>
  <si>
    <t xml:space="preserve">VIO-M3</t>
  </si>
  <si>
    <t xml:space="preserve">The Reconciliation - the way out</t>
  </si>
  <si>
    <t xml:space="preserve">Ending</t>
  </si>
  <si>
    <t xml:space="preserve">Dependency Edge List</t>
  </si>
  <si>
    <t xml:space="preserve">One row per requirement. 'Cross-realm' marks the edges that force the player to change realm.</t>
  </si>
  <si>
    <t xml:space="preserve">From (prerequisite)</t>
  </si>
  <si>
    <t xml:space="preserve">From Realm</t>
  </si>
  <si>
    <t xml:space="preserve">To (unlocks)</t>
  </si>
  <si>
    <t xml:space="preserve">To Realm</t>
  </si>
  <si>
    <t xml:space="preserve">Cross-realm?</t>
  </si>
  <si>
    <t xml:space="preserve">To Tier</t>
  </si>
  <si>
    <t xml:space="preserve">Total edges</t>
  </si>
  <si>
    <t xml:space="preserve">Cross-realm edges</t>
  </si>
  <si>
    <t xml:space="preserve">Cross-realm share</t>
  </si>
  <si>
    <t xml:space="preserve">Reachability Check</t>
  </si>
  <si>
    <t xml:space="preserve">Open options at each step. A switch is open once its prerequisites are met and until it is flipped. Column E must read OK for every step before the finale funnel.</t>
  </si>
  <si>
    <t xml:space="preserve">Steps flagged</t>
  </si>
  <si>
    <t xml:space="preserve">Must be zero.</t>
  </si>
  <si>
    <t xml:space="preserve">Narrowest point (pre-finale)</t>
  </si>
  <si>
    <t xml:space="preserve">Step</t>
  </si>
  <si>
    <t xml:space="preserve">Open Options</t>
  </si>
  <si>
    <t xml:space="preserve">Min Allowed</t>
  </si>
  <si>
    <t xml:space="preserve">Max Allowed</t>
  </si>
  <si>
    <t xml:space="preserve">Flag</t>
  </si>
  <si>
    <t xml:space="preserve">Open switch IDs (snapshot of current layout)</t>
  </si>
  <si>
    <t xml:space="preserve">Pre-finale count</t>
  </si>
  <si>
    <t xml:space="preserve">HALL-1, HUB-1, RED-1</t>
  </si>
  <si>
    <t xml:space="preserve">HALL-1, HUB-1, RED-2, RED-3</t>
  </si>
  <si>
    <t xml:space="preserve">HALL-1, HUB-1, RED-3, RED-4</t>
  </si>
  <si>
    <t xml:space="preserve">HUB-1, RED-3, RED-4</t>
  </si>
  <si>
    <t xml:space="preserve">AMB-1, HUB-1, RED-4, RED-M1</t>
  </si>
  <si>
    <t xml:space="preserve">AMB-1, HUB-1, RED-M1</t>
  </si>
  <si>
    <t xml:space="preserve">AMB-1, RED-M1</t>
  </si>
  <si>
    <t xml:space="preserve">AMB-1, RED-5</t>
  </si>
  <si>
    <t xml:space="preserve">AMB-2, AMB-3, RED-5</t>
  </si>
  <si>
    <t xml:space="preserve">AMB-3, AMB-4, RED-5</t>
  </si>
  <si>
    <t xml:space="preserve">AMB-4, AMB-M1, RED-5, YEL-1</t>
  </si>
  <si>
    <t xml:space="preserve">AMB-4, AMB-M1, YEL-1</t>
  </si>
  <si>
    <t xml:space="preserve">AMB-M1, YEL-1</t>
  </si>
  <si>
    <t xml:space="preserve">AMB-5, RED-M2, YEL-1</t>
  </si>
  <si>
    <t xml:space="preserve">AMB-5, RED-M2, YEL-2, YEL-3</t>
  </si>
  <si>
    <t xml:space="preserve">AMB-5, RED-M2, YEL-3, YEL-4</t>
  </si>
  <si>
    <t xml:space="preserve">RED-M2, YEL-3, YEL-4</t>
  </si>
  <si>
    <t xml:space="preserve">GRN-1, RED-M2, YEL-4, YEL-M1</t>
  </si>
  <si>
    <t xml:space="preserve">GRN-1, RED-M2, YEL-M1</t>
  </si>
  <si>
    <t xml:space="preserve">GRN-1, HUB-2, RED-M2, YEL-5</t>
  </si>
  <si>
    <t xml:space="preserve">GRN-1, RED-M2, YEL-5</t>
  </si>
  <si>
    <t xml:space="preserve">GRN-2, GRN-3, RED-M2, YEL-5</t>
  </si>
  <si>
    <t xml:space="preserve">GRN-3, GRN-4, RED-M2, YEL-5</t>
  </si>
  <si>
    <t xml:space="preserve">GRN-3, GRN-4, RED-M2</t>
  </si>
  <si>
    <t xml:space="preserve">BLU-1, GRN-4, GRN-M1, RED-M2</t>
  </si>
  <si>
    <t xml:space="preserve">BLU-1, GRN-M1, RED-M2</t>
  </si>
  <si>
    <t xml:space="preserve">BLU-1, GRN-5, HALL-2, RED-M2, YEL-M2</t>
  </si>
  <si>
    <t xml:space="preserve">BLU-1, GRN-5, RED-M2, YEL-M2</t>
  </si>
  <si>
    <t xml:space="preserve">BLU-2, BLU-3, GRN-5, RED-M2, YEL-M2</t>
  </si>
  <si>
    <t xml:space="preserve">BLU-3, BLU-4, GRN-5, RED-M2, YEL-M2</t>
  </si>
  <si>
    <t xml:space="preserve">BLU-3, BLU-4, RED-M2, YEL-M2</t>
  </si>
  <si>
    <t xml:space="preserve">BLU-4, BLU-M1, IND-1, RED-M2, YEL-M2</t>
  </si>
  <si>
    <t xml:space="preserve">BLU-M1, IND-1, RED-M2, YEL-M2</t>
  </si>
  <si>
    <t xml:space="preserve">BLU-5, HUB-3, IND-1, RED-M2, YEL-M2</t>
  </si>
  <si>
    <t xml:space="preserve">BLU-5, IND-1, RED-M2, YEL-M2</t>
  </si>
  <si>
    <t xml:space="preserve">BLU-5, IND-2, IND-3, RED-M2, YEL-M2</t>
  </si>
  <si>
    <t xml:space="preserve">BLU-5, IND-3, IND-4, RED-M2, YEL-M2</t>
  </si>
  <si>
    <t xml:space="preserve">IND-3, IND-4, RED-M2, YEL-M2</t>
  </si>
  <si>
    <t xml:space="preserve">IND-4, IND-M1, RED-M2, YEL-M2</t>
  </si>
  <si>
    <t xml:space="preserve">IND-M1, RED-M2, YEL-M2</t>
  </si>
  <si>
    <t xml:space="preserve">IND-5, RED-M2, VIO-1, YEL-M2</t>
  </si>
  <si>
    <t xml:space="preserve">IND-5, RED-M2, VIO-2, VIO-3, YEL-M2</t>
  </si>
  <si>
    <t xml:space="preserve">RED-M2, VIO-2, VIO-3, YEL-M2</t>
  </si>
  <si>
    <t xml:space="preserve">RED-M2, VIO-3, VIO-4, YEL-M2</t>
  </si>
  <si>
    <t xml:space="preserve">RED-M2, VIO-4, VIO-M1, YEL-M2</t>
  </si>
  <si>
    <t xml:space="preserve">AMB-M2, HALL-3, VIO-4, VIO-M1, YEL-M2</t>
  </si>
  <si>
    <t xml:space="preserve">AMB-M2, VIO-4, VIO-M1, YEL-M2</t>
  </si>
  <si>
    <t xml:space="preserve">GRN-M2, VIO-4, VIO-M1, YEL-M2</t>
  </si>
  <si>
    <t xml:space="preserve">BLU-M2, GRN-M2, RED-M3, VIO-4, VIO-M1</t>
  </si>
  <si>
    <t xml:space="preserve">AMB-M3, BLU-M2, IND-M2, RED-M3, VIO-4, VIO-M1</t>
  </si>
  <si>
    <t xml:space="preserve">AMB-M3, GRN-M3, HALL-4, IND-M2, RED-M3, VIO-4, VIO-M1</t>
  </si>
  <si>
    <t xml:space="preserve">AMB-M3, BLU-M3, GRN-M3, HALL-4, RED-M3, VIO-4, VIO-M1</t>
  </si>
  <si>
    <t xml:space="preserve">AMB-M3, BLU-M3, GRN-M3, HALL-4, RED-M3, VIO-4</t>
  </si>
  <si>
    <t xml:space="preserve">AMB-M3, BLU-M3, GRN-M3, HALL-4, HUB-4, VIO-4, YEL-M3</t>
  </si>
  <si>
    <t xml:space="preserve">AMB-M3, BLU-M3, GRN-M3, HUB-4, VIO-4, YEL-M3</t>
  </si>
  <si>
    <t xml:space="preserve">BLU-M3, GRN-M3, HUB-4, IND-M3, VIO-4, YEL-M3</t>
  </si>
  <si>
    <t xml:space="preserve">BLU-M3, HUB-4, IND-M3, VIO-4, YEL-M3</t>
  </si>
  <si>
    <t xml:space="preserve">HUB-4, IND-M3, VIO-4, YEL-M3</t>
  </si>
  <si>
    <t xml:space="preserve">HUB-4, IND-M3, YEL-M3</t>
  </si>
  <si>
    <t xml:space="preserve">HUB-4, IND-M3</t>
  </si>
  <si>
    <t xml:space="preserve">Pacing Model</t>
  </si>
  <si>
    <t xml:space="preserve">Total runs and hours implied by the switch table. Tune with the blue cells on Parameters.</t>
  </si>
  <si>
    <t xml:space="preserve">BY PHASE</t>
  </si>
  <si>
    <t xml:space="preserve">Switches</t>
  </si>
  <si>
    <t xml:space="preserve">Hours</t>
  </si>
  <si>
    <t xml:space="preserve">Early</t>
  </si>
  <si>
    <t xml:space="preserve">Mid</t>
  </si>
  <si>
    <t xml:space="preserve">Late</t>
  </si>
  <si>
    <t xml:space="preserve">TOTAL</t>
  </si>
  <si>
    <t xml:space="preserve">TOTALS</t>
  </si>
  <si>
    <t xml:space="preserve">Total switches</t>
  </si>
  <si>
    <t xml:space="preserve">Milestones that award gems.</t>
  </si>
  <si>
    <t xml:space="preserve">Total runs</t>
  </si>
  <si>
    <t xml:space="preserve">Loops played across a full playthrough.</t>
  </si>
  <si>
    <t xml:space="preserve">Average minutes per run</t>
  </si>
  <si>
    <t xml:space="preserve">Total hours</t>
  </si>
  <si>
    <t xml:space="preserve">Compare against 40-60 target in design doc v0.2 section 1.</t>
  </si>
  <si>
    <t xml:space="preserve">Runs per switch (reward cadence)</t>
  </si>
  <si>
    <t xml:space="preserve">Aim for 3-5. Higher than 5 and rewards feel sparse.</t>
  </si>
  <si>
    <t xml:space="preserve">Hours vs target low</t>
  </si>
  <si>
    <t xml:space="preserve">Negative means the game is shorter than target.</t>
  </si>
  <si>
    <t xml:space="preserve">Hours vs target high</t>
  </si>
  <si>
    <t xml:space="preserve">HOW TO LENGTHEN OR SHORTEN</t>
  </si>
  <si>
    <t xml:space="preserve">- Raise the global pacing multiplier (Parameters B7) to make every switch take more runs.</t>
  </si>
  <si>
    <t xml:space="preserve">- Raise late minutes per run (Parameters B18) - long late routes add hours without adding grind.</t>
  </si>
  <si>
    <t xml:space="preserve">- Raise tier 3 multiplier (Parameters B13) to back-load difficulty rather than pad the early game.</t>
  </si>
  <si>
    <t xml:space="preserve">- Adding switches is the only lever that adds CONTENT; the others only add time.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</si>
</sst>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"/>
    <numFmt numFmtId="167" formatCode="0.0%"/>
    <numFmt numFmtId="168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2A4A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8E6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5" t="s">
        <v>23</v>
      </c>
    </row>
    <row r="5" customFormat="false" ht="15" hidden="false" customHeight="false" outlineLevel="0" collapsed="false">
      <c r="A5" s="4" t="s">
        <v>24</v>
      </c>
      <c r="B5" s="6" t="n">
        <v>2</v>
      </c>
      <c r="C5" s="2" t="s">
        <v>25</v>
      </c>
    </row>
    <row r="6" customFormat="false" ht="15" hidden="false" customHeight="false" outlineLevel="0" collapsed="false">
      <c r="A6" s="4" t="s">
        <v>26</v>
      </c>
      <c r="B6" s="6" t="n">
        <v>5</v>
      </c>
      <c r="C6" s="2" t="s">
        <v>27</v>
      </c>
    </row>
    <row r="7" customFormat="false" ht="15" hidden="false" customHeight="false" outlineLevel="0" collapsed="false">
      <c r="A7" s="4" t="s">
        <v>28</v>
      </c>
      <c r="B7" s="7" t="n">
        <v>1</v>
      </c>
      <c r="C7" s="2" t="s">
        <v>29</v>
      </c>
    </row>
    <row r="9" customFormat="false" ht="15" hidden="false" customHeight="false" outlineLevel="0" collapsed="false">
      <c r="A9" s="5" t="s">
        <v>30</v>
      </c>
    </row>
    <row r="10" customFormat="false" ht="15" hidden="false" customHeight="false" outlineLevel="0" collapsed="false">
      <c r="A10" s="4" t="s">
        <v>31</v>
      </c>
      <c r="B10" s="4" t="s">
        <v>32</v>
      </c>
    </row>
    <row r="11" customFormat="false" ht="15" hidden="false" customHeight="false" outlineLevel="0" collapsed="false">
      <c r="A11" s="3" t="n">
        <v>1</v>
      </c>
      <c r="B11" s="6" t="n">
        <v>1</v>
      </c>
      <c r="C11" s="2" t="s">
        <v>33</v>
      </c>
    </row>
    <row r="12" customFormat="false" ht="15" hidden="false" customHeight="false" outlineLevel="0" collapsed="false">
      <c r="A12" s="3" t="n">
        <v>2</v>
      </c>
      <c r="B12" s="6" t="n">
        <v>1.6</v>
      </c>
    </row>
    <row r="13" customFormat="false" ht="15" hidden="false" customHeight="false" outlineLevel="0" collapsed="false">
      <c r="A13" s="3" t="n">
        <v>3</v>
      </c>
      <c r="B13" s="6" t="n">
        <v>2</v>
      </c>
    </row>
    <row r="15" customFormat="false" ht="15" hidden="false" customHeight="false" outlineLevel="0" collapsed="false">
      <c r="A15" s="5" t="s">
        <v>34</v>
      </c>
    </row>
    <row r="16" customFormat="false" ht="15" hidden="false" customHeight="false" outlineLevel="0" collapsed="false">
      <c r="A16" s="4" t="s">
        <v>35</v>
      </c>
      <c r="B16" s="6" t="n">
        <v>2.5</v>
      </c>
      <c r="C16" s="2" t="s">
        <v>36</v>
      </c>
    </row>
    <row r="17" customFormat="false" ht="15" hidden="false" customHeight="false" outlineLevel="0" collapsed="false">
      <c r="A17" s="4" t="s">
        <v>37</v>
      </c>
      <c r="B17" s="6" t="n">
        <v>5.5</v>
      </c>
      <c r="C17" s="2" t="s">
        <v>38</v>
      </c>
    </row>
    <row r="18" customFormat="false" ht="15" hidden="false" customHeight="false" outlineLevel="0" collapsed="false">
      <c r="A18" s="4" t="s">
        <v>39</v>
      </c>
      <c r="B18" s="6" t="n">
        <v>10</v>
      </c>
      <c r="C18" s="2" t="s">
        <v>40</v>
      </c>
    </row>
    <row r="19" customFormat="false" ht="15" hidden="false" customHeight="false" outlineLevel="0" collapsed="false">
      <c r="A19" s="4" t="s">
        <v>41</v>
      </c>
      <c r="B19" s="6" t="n">
        <v>0.75</v>
      </c>
      <c r="C19" s="2" t="s">
        <v>42</v>
      </c>
    </row>
    <row r="21" customFormat="false" ht="15" hidden="false" customHeight="false" outlineLevel="0" collapsed="false">
      <c r="A21" s="5" t="s">
        <v>43</v>
      </c>
    </row>
    <row r="22" customFormat="false" ht="15" hidden="false" customHeight="false" outlineLevel="0" collapsed="false">
      <c r="A22" s="4" t="s">
        <v>44</v>
      </c>
      <c r="B22" s="6" t="n">
        <v>20</v>
      </c>
      <c r="C22" s="2" t="s">
        <v>45</v>
      </c>
    </row>
    <row r="23" customFormat="false" ht="15" hidden="false" customHeight="false" outlineLevel="0" collapsed="false">
      <c r="A23" s="4" t="s">
        <v>46</v>
      </c>
      <c r="B23" s="6" t="n">
        <v>45</v>
      </c>
      <c r="C23" s="2"/>
    </row>
    <row r="24" customFormat="false" ht="15" hidden="false" customHeight="false" outlineLevel="0" collapsed="false">
      <c r="A24" s="4" t="s">
        <v>47</v>
      </c>
      <c r="B24" s="6" t="n">
        <v>61</v>
      </c>
      <c r="C24" s="2" t="s">
        <v>48</v>
      </c>
    </row>
    <row r="26" customFormat="false" ht="15" hidden="false" customHeight="false" outlineLevel="0" collapsed="false">
      <c r="A26" s="5" t="s">
        <v>49</v>
      </c>
    </row>
    <row r="27" customFormat="false" ht="15" hidden="false" customHeight="false" outlineLevel="0" collapsed="false">
      <c r="A27" s="4" t="s">
        <v>50</v>
      </c>
      <c r="B27" s="7" t="n">
        <v>2</v>
      </c>
      <c r="C27" s="2" t="s">
        <v>51</v>
      </c>
    </row>
    <row r="28" customFormat="false" ht="15" hidden="false" customHeight="false" outlineLevel="0" collapsed="false">
      <c r="A28" s="4" t="s">
        <v>52</v>
      </c>
      <c r="B28" s="6" t="n">
        <v>5</v>
      </c>
      <c r="C28" s="2" t="s">
        <v>53</v>
      </c>
    </row>
    <row r="29" customFormat="false" ht="15" hidden="false" customHeight="false" outlineLevel="0" collapsed="false">
      <c r="A29" s="4" t="s">
        <v>54</v>
      </c>
      <c r="B29" s="6" t="n">
        <v>8</v>
      </c>
      <c r="C29" s="2" t="s">
        <v>55</v>
      </c>
    </row>
    <row r="31" customFormat="false" ht="15" hidden="false" customHeight="false" outlineLevel="0" collapsed="false">
      <c r="A31" s="5" t="s">
        <v>56</v>
      </c>
    </row>
    <row r="32" customFormat="false" ht="15" hidden="false" customHeight="false" outlineLevel="0" collapsed="false">
      <c r="A32" s="4" t="s">
        <v>57</v>
      </c>
      <c r="B32" s="6" t="n">
        <v>40</v>
      </c>
      <c r="C32" s="2" t="s">
        <v>58</v>
      </c>
    </row>
    <row r="33" customFormat="false" ht="15" hidden="false" customHeight="false" outlineLevel="0" collapsed="false">
      <c r="A33" s="4" t="s">
        <v>59</v>
      </c>
      <c r="B33" s="6" t="n">
        <v>60</v>
      </c>
      <c r="C33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30"/>
    <col collapsed="false" customWidth="true" hidden="false" outlineLevel="0" max="11" min="11" style="0" width="8"/>
    <col collapsed="false" customWidth="true" hidden="false" outlineLevel="0" max="13" min="12" style="0" width="10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26.85" hidden="false" customHeight="false" outlineLevel="0" collapsed="false">
      <c r="A4" s="8" t="s">
        <v>62</v>
      </c>
      <c r="B4" s="8" t="s">
        <v>63</v>
      </c>
      <c r="C4" s="8" t="s">
        <v>64</v>
      </c>
      <c r="D4" s="8" t="s">
        <v>65</v>
      </c>
      <c r="E4" s="8" t="s">
        <v>31</v>
      </c>
      <c r="F4" s="8" t="s">
        <v>66</v>
      </c>
      <c r="G4" s="8" t="s">
        <v>67</v>
      </c>
      <c r="H4" s="8" t="s">
        <v>68</v>
      </c>
      <c r="I4" s="8" t="s">
        <v>69</v>
      </c>
      <c r="J4" s="8" t="s">
        <v>70</v>
      </c>
      <c r="K4" s="8" t="s">
        <v>71</v>
      </c>
      <c r="L4" s="8" t="s">
        <v>72</v>
      </c>
      <c r="M4" s="8" t="s">
        <v>73</v>
      </c>
      <c r="N4" s="8" t="s">
        <v>74</v>
      </c>
    </row>
    <row r="5" customFormat="false" ht="15" hidden="false" customHeight="false" outlineLevel="0" collapsed="false">
      <c r="A5" s="9" t="s">
        <v>75</v>
      </c>
      <c r="B5" s="10" t="s">
        <v>76</v>
      </c>
      <c r="C5" s="10" t="s">
        <v>77</v>
      </c>
      <c r="D5" s="10" t="s">
        <v>78</v>
      </c>
      <c r="E5" s="11" t="n">
        <v>1</v>
      </c>
      <c r="F5" s="10" t="s">
        <v>79</v>
      </c>
      <c r="G5" s="11" t="n">
        <v>1</v>
      </c>
      <c r="H5" s="11" t="n">
        <v>1</v>
      </c>
      <c r="I5" s="10" t="n">
        <v>0</v>
      </c>
      <c r="J5" s="10" t="s">
        <v>79</v>
      </c>
      <c r="K5" s="10" t="str">
        <f aca="false">IF(H5&lt;=Parameters!$B$22,"Early",IF(H5&lt;=Parameters!$B$23,"Mid","Late"))</f>
        <v>Early</v>
      </c>
      <c r="L5" s="10" t="n">
        <f aca="false">ROUND(IF(D5="Minor",Parameters!$B$5,Parameters!$B$6)*INDEX(Parameters!$B$11:$B$13,MATCH(E5,Parameters!$A$11:$A$13,0))*Parameters!$B$7,0)</f>
        <v>2</v>
      </c>
      <c r="M5" s="12" t="n">
        <f aca="false">IF(K5="Early",Parameters!$B$16,IF(K5="Mid",Parameters!$B$17,Parameters!$B$18))</f>
        <v>2.5</v>
      </c>
      <c r="N5" s="13" t="n">
        <f aca="false">L5*(M5+Parameters!$B$19)</f>
        <v>6.5</v>
      </c>
    </row>
    <row r="6" customFormat="false" ht="15" hidden="false" customHeight="false" outlineLevel="0" collapsed="false">
      <c r="A6" s="9" t="s">
        <v>80</v>
      </c>
      <c r="B6" s="10" t="s">
        <v>76</v>
      </c>
      <c r="C6" s="10" t="s">
        <v>81</v>
      </c>
      <c r="D6" s="10" t="s">
        <v>78</v>
      </c>
      <c r="E6" s="11" t="n">
        <v>1</v>
      </c>
      <c r="F6" s="10" t="s">
        <v>75</v>
      </c>
      <c r="G6" s="11" t="n">
        <v>2</v>
      </c>
      <c r="H6" s="11" t="n">
        <v>2</v>
      </c>
      <c r="I6" s="10" t="n">
        <v>0</v>
      </c>
      <c r="J6" s="10" t="s">
        <v>79</v>
      </c>
      <c r="K6" s="10" t="str">
        <f aca="false">IF(H6&lt;=Parameters!$B$22,"Early",IF(H6&lt;=Parameters!$B$23,"Mid","Late"))</f>
        <v>Early</v>
      </c>
      <c r="L6" s="10" t="n">
        <f aca="false">ROUND(IF(D6="Minor",Parameters!$B$5,Parameters!$B$6)*INDEX(Parameters!$B$11:$B$13,MATCH(E6,Parameters!$A$11:$A$13,0))*Parameters!$B$7,0)</f>
        <v>2</v>
      </c>
      <c r="M6" s="12" t="n">
        <f aca="false">IF(K6="Early",Parameters!$B$16,IF(K6="Mid",Parameters!$B$17,Parameters!$B$18))</f>
        <v>2.5</v>
      </c>
      <c r="N6" s="13" t="n">
        <f aca="false">L6*(M6+Parameters!$B$19)</f>
        <v>6.5</v>
      </c>
    </row>
    <row r="7" customFormat="false" ht="15" hidden="false" customHeight="false" outlineLevel="0" collapsed="false">
      <c r="A7" s="9" t="s">
        <v>82</v>
      </c>
      <c r="B7" s="10" t="s">
        <v>83</v>
      </c>
      <c r="C7" s="10" t="s">
        <v>84</v>
      </c>
      <c r="D7" s="10" t="s">
        <v>78</v>
      </c>
      <c r="E7" s="11" t="n">
        <v>1</v>
      </c>
      <c r="F7" s="10" t="s">
        <v>79</v>
      </c>
      <c r="G7" s="11" t="n">
        <v>1</v>
      </c>
      <c r="H7" s="11" t="n">
        <v>3</v>
      </c>
      <c r="I7" s="10" t="n">
        <v>0</v>
      </c>
      <c r="J7" s="10" t="s">
        <v>85</v>
      </c>
      <c r="K7" s="10" t="str">
        <f aca="false">IF(H7&lt;=Parameters!$B$22,"Early",IF(H7&lt;=Parameters!$B$23,"Mid","Late"))</f>
        <v>Early</v>
      </c>
      <c r="L7" s="10" t="n">
        <f aca="false">ROUND(IF(D7="Minor",Parameters!$B$5,Parameters!$B$6)*INDEX(Parameters!$B$11:$B$13,MATCH(E7,Parameters!$A$11:$A$13,0))*Parameters!$B$7,0)</f>
        <v>2</v>
      </c>
      <c r="M7" s="12" t="n">
        <f aca="false">IF(K7="Early",Parameters!$B$16,IF(K7="Mid",Parameters!$B$17,Parameters!$B$18))</f>
        <v>2.5</v>
      </c>
      <c r="N7" s="13" t="n">
        <f aca="false">L7*(M7+Parameters!$B$19)</f>
        <v>6.5</v>
      </c>
    </row>
    <row r="8" customFormat="false" ht="15" hidden="false" customHeight="false" outlineLevel="0" collapsed="false">
      <c r="A8" s="9" t="s">
        <v>86</v>
      </c>
      <c r="B8" s="10" t="s">
        <v>76</v>
      </c>
      <c r="C8" s="10" t="s">
        <v>87</v>
      </c>
      <c r="D8" s="10" t="s">
        <v>78</v>
      </c>
      <c r="E8" s="11" t="n">
        <v>1</v>
      </c>
      <c r="F8" s="10" t="s">
        <v>75</v>
      </c>
      <c r="G8" s="11" t="n">
        <v>2</v>
      </c>
      <c r="H8" s="11" t="n">
        <v>4</v>
      </c>
      <c r="I8" s="10" t="n">
        <v>0</v>
      </c>
      <c r="J8" s="10" t="s">
        <v>79</v>
      </c>
      <c r="K8" s="10" t="str">
        <f aca="false">IF(H8&lt;=Parameters!$B$22,"Early",IF(H8&lt;=Parameters!$B$23,"Mid","Late"))</f>
        <v>Early</v>
      </c>
      <c r="L8" s="10" t="n">
        <f aca="false">ROUND(IF(D8="Minor",Parameters!$B$5,Parameters!$B$6)*INDEX(Parameters!$B$11:$B$13,MATCH(E8,Parameters!$A$11:$A$13,0))*Parameters!$B$7,0)</f>
        <v>2</v>
      </c>
      <c r="M8" s="12" t="n">
        <f aca="false">IF(K8="Early",Parameters!$B$16,IF(K8="Mid",Parameters!$B$17,Parameters!$B$18))</f>
        <v>2.5</v>
      </c>
      <c r="N8" s="13" t="n">
        <f aca="false">L8*(M8+Parameters!$B$19)</f>
        <v>6.5</v>
      </c>
    </row>
    <row r="9" customFormat="false" ht="15" hidden="false" customHeight="false" outlineLevel="0" collapsed="false">
      <c r="A9" s="9" t="s">
        <v>88</v>
      </c>
      <c r="B9" s="10" t="s">
        <v>76</v>
      </c>
      <c r="C9" s="10" t="s">
        <v>89</v>
      </c>
      <c r="D9" s="10" t="s">
        <v>78</v>
      </c>
      <c r="E9" s="11" t="n">
        <v>1</v>
      </c>
      <c r="F9" s="10" t="s">
        <v>80</v>
      </c>
      <c r="G9" s="11" t="n">
        <v>3</v>
      </c>
      <c r="H9" s="11" t="n">
        <v>5</v>
      </c>
      <c r="I9" s="10" t="n">
        <v>0</v>
      </c>
      <c r="J9" s="10" t="s">
        <v>79</v>
      </c>
      <c r="K9" s="10" t="str">
        <f aca="false">IF(H9&lt;=Parameters!$B$22,"Early",IF(H9&lt;=Parameters!$B$23,"Mid","Late"))</f>
        <v>Early</v>
      </c>
      <c r="L9" s="10" t="n">
        <f aca="false">ROUND(IF(D9="Minor",Parameters!$B$5,Parameters!$B$6)*INDEX(Parameters!$B$11:$B$13,MATCH(E9,Parameters!$A$11:$A$13,0))*Parameters!$B$7,0)</f>
        <v>2</v>
      </c>
      <c r="M9" s="12" t="n">
        <f aca="false">IF(K9="Early",Parameters!$B$16,IF(K9="Mid",Parameters!$B$17,Parameters!$B$18))</f>
        <v>2.5</v>
      </c>
      <c r="N9" s="13" t="n">
        <f aca="false">L9*(M9+Parameters!$B$19)</f>
        <v>6.5</v>
      </c>
    </row>
    <row r="10" customFormat="false" ht="15" hidden="false" customHeight="false" outlineLevel="0" collapsed="false">
      <c r="A10" s="9" t="s">
        <v>90</v>
      </c>
      <c r="B10" s="10" t="s">
        <v>91</v>
      </c>
      <c r="C10" s="10" t="s">
        <v>92</v>
      </c>
      <c r="D10" s="10" t="s">
        <v>78</v>
      </c>
      <c r="E10" s="11" t="n">
        <v>1</v>
      </c>
      <c r="F10" s="10" t="s">
        <v>79</v>
      </c>
      <c r="G10" s="11" t="n">
        <v>1</v>
      </c>
      <c r="H10" s="11" t="n">
        <v>6</v>
      </c>
      <c r="I10" s="10" t="n">
        <v>0</v>
      </c>
      <c r="J10" s="10" t="s">
        <v>93</v>
      </c>
      <c r="K10" s="10" t="str">
        <f aca="false">IF(H10&lt;=Parameters!$B$22,"Early",IF(H10&lt;=Parameters!$B$23,"Mid","Late"))</f>
        <v>Early</v>
      </c>
      <c r="L10" s="10" t="n">
        <f aca="false">ROUND(IF(D10="Minor",Parameters!$B$5,Parameters!$B$6)*INDEX(Parameters!$B$11:$B$13,MATCH(E10,Parameters!$A$11:$A$13,0))*Parameters!$B$7,0)</f>
        <v>2</v>
      </c>
      <c r="M10" s="12" t="n">
        <f aca="false">IF(K10="Early",Parameters!$B$16,IF(K10="Mid",Parameters!$B$17,Parameters!$B$18))</f>
        <v>2.5</v>
      </c>
      <c r="N10" s="13" t="n">
        <f aca="false">L10*(M10+Parameters!$B$19)</f>
        <v>6.5</v>
      </c>
    </row>
    <row r="11" customFormat="false" ht="15" hidden="false" customHeight="false" outlineLevel="0" collapsed="false">
      <c r="A11" s="9" t="s">
        <v>94</v>
      </c>
      <c r="B11" s="10" t="s">
        <v>76</v>
      </c>
      <c r="C11" s="10" t="s">
        <v>95</v>
      </c>
      <c r="D11" s="10" t="s">
        <v>96</v>
      </c>
      <c r="E11" s="11" t="n">
        <v>1</v>
      </c>
      <c r="F11" s="10" t="s">
        <v>97</v>
      </c>
      <c r="G11" s="11" t="n">
        <v>5</v>
      </c>
      <c r="H11" s="11" t="n">
        <v>7</v>
      </c>
      <c r="I11" s="10" t="n">
        <v>2</v>
      </c>
      <c r="J11" s="10" t="s">
        <v>98</v>
      </c>
      <c r="K11" s="10" t="str">
        <f aca="false">IF(H11&lt;=Parameters!$B$22,"Early",IF(H11&lt;=Parameters!$B$23,"Mid","Late"))</f>
        <v>Early</v>
      </c>
      <c r="L11" s="10" t="n">
        <f aca="false">ROUND(IF(D11="Minor",Parameters!$B$5,Parameters!$B$6)*INDEX(Parameters!$B$11:$B$13,MATCH(E11,Parameters!$A$11:$A$13,0))*Parameters!$B$7,0)</f>
        <v>5</v>
      </c>
      <c r="M11" s="12" t="n">
        <f aca="false">IF(K11="Early",Parameters!$B$16,IF(K11="Mid",Parameters!$B$17,Parameters!$B$18))</f>
        <v>2.5</v>
      </c>
      <c r="N11" s="13" t="n">
        <f aca="false">L11*(M11+Parameters!$B$19)</f>
        <v>16.25</v>
      </c>
    </row>
    <row r="12" customFormat="false" ht="15" hidden="false" customHeight="false" outlineLevel="0" collapsed="false">
      <c r="A12" s="9" t="s">
        <v>99</v>
      </c>
      <c r="B12" s="10" t="s">
        <v>100</v>
      </c>
      <c r="C12" s="10" t="s">
        <v>101</v>
      </c>
      <c r="D12" s="10" t="s">
        <v>78</v>
      </c>
      <c r="E12" s="11" t="n">
        <v>1</v>
      </c>
      <c r="F12" s="10" t="s">
        <v>86</v>
      </c>
      <c r="G12" s="11" t="n">
        <v>5</v>
      </c>
      <c r="H12" s="11" t="n">
        <v>8</v>
      </c>
      <c r="I12" s="10" t="n">
        <v>0</v>
      </c>
      <c r="J12" s="10" t="s">
        <v>79</v>
      </c>
      <c r="K12" s="10" t="str">
        <f aca="false">IF(H12&lt;=Parameters!$B$22,"Early",IF(H12&lt;=Parameters!$B$23,"Mid","Late"))</f>
        <v>Early</v>
      </c>
      <c r="L12" s="10" t="n">
        <f aca="false">ROUND(IF(D12="Minor",Parameters!$B$5,Parameters!$B$6)*INDEX(Parameters!$B$11:$B$13,MATCH(E12,Parameters!$A$11:$A$13,0))*Parameters!$B$7,0)</f>
        <v>2</v>
      </c>
      <c r="M12" s="12" t="n">
        <f aca="false">IF(K12="Early",Parameters!$B$16,IF(K12="Mid",Parameters!$B$17,Parameters!$B$18))</f>
        <v>2.5</v>
      </c>
      <c r="N12" s="13" t="n">
        <f aca="false">L12*(M12+Parameters!$B$19)</f>
        <v>6.5</v>
      </c>
    </row>
    <row r="13" customFormat="false" ht="15" hidden="false" customHeight="false" outlineLevel="0" collapsed="false">
      <c r="A13" s="9" t="s">
        <v>102</v>
      </c>
      <c r="B13" s="10" t="s">
        <v>100</v>
      </c>
      <c r="C13" s="10" t="s">
        <v>103</v>
      </c>
      <c r="D13" s="10" t="s">
        <v>78</v>
      </c>
      <c r="E13" s="11" t="n">
        <v>1</v>
      </c>
      <c r="F13" s="10" t="s">
        <v>99</v>
      </c>
      <c r="G13" s="11" t="n">
        <v>9</v>
      </c>
      <c r="H13" s="11" t="n">
        <v>9</v>
      </c>
      <c r="I13" s="10" t="n">
        <v>0</v>
      </c>
      <c r="J13" s="10" t="s">
        <v>79</v>
      </c>
      <c r="K13" s="10" t="str">
        <f aca="false">IF(H13&lt;=Parameters!$B$22,"Early",IF(H13&lt;=Parameters!$B$23,"Mid","Late"))</f>
        <v>Early</v>
      </c>
      <c r="L13" s="10" t="n">
        <f aca="false">ROUND(IF(D13="Minor",Parameters!$B$5,Parameters!$B$6)*INDEX(Parameters!$B$11:$B$13,MATCH(E13,Parameters!$A$11:$A$13,0))*Parameters!$B$7,0)</f>
        <v>2</v>
      </c>
      <c r="M13" s="12" t="n">
        <f aca="false">IF(K13="Early",Parameters!$B$16,IF(K13="Mid",Parameters!$B$17,Parameters!$B$18))</f>
        <v>2.5</v>
      </c>
      <c r="N13" s="13" t="n">
        <f aca="false">L13*(M13+Parameters!$B$19)</f>
        <v>6.5</v>
      </c>
    </row>
    <row r="14" customFormat="false" ht="15" hidden="false" customHeight="false" outlineLevel="0" collapsed="false">
      <c r="A14" s="9" t="s">
        <v>104</v>
      </c>
      <c r="B14" s="10" t="s">
        <v>100</v>
      </c>
      <c r="C14" s="10" t="s">
        <v>105</v>
      </c>
      <c r="D14" s="10" t="s">
        <v>78</v>
      </c>
      <c r="E14" s="11" t="n">
        <v>1</v>
      </c>
      <c r="F14" s="10" t="s">
        <v>99</v>
      </c>
      <c r="G14" s="11" t="n">
        <v>9</v>
      </c>
      <c r="H14" s="11" t="n">
        <v>10</v>
      </c>
      <c r="I14" s="10" t="n">
        <v>0</v>
      </c>
      <c r="J14" s="10" t="s">
        <v>79</v>
      </c>
      <c r="K14" s="10" t="str">
        <f aca="false">IF(H14&lt;=Parameters!$B$22,"Early",IF(H14&lt;=Parameters!$B$23,"Mid","Late"))</f>
        <v>Early</v>
      </c>
      <c r="L14" s="10" t="n">
        <f aca="false">ROUND(IF(D14="Minor",Parameters!$B$5,Parameters!$B$6)*INDEX(Parameters!$B$11:$B$13,MATCH(E14,Parameters!$A$11:$A$13,0))*Parameters!$B$7,0)</f>
        <v>2</v>
      </c>
      <c r="M14" s="12" t="n">
        <f aca="false">IF(K14="Early",Parameters!$B$16,IF(K14="Mid",Parameters!$B$17,Parameters!$B$18))</f>
        <v>2.5</v>
      </c>
      <c r="N14" s="13" t="n">
        <f aca="false">L14*(M14+Parameters!$B$19)</f>
        <v>6.5</v>
      </c>
    </row>
    <row r="15" customFormat="false" ht="15" hidden="false" customHeight="false" outlineLevel="0" collapsed="false">
      <c r="A15" s="9" t="s">
        <v>106</v>
      </c>
      <c r="B15" s="10" t="s">
        <v>76</v>
      </c>
      <c r="C15" s="10" t="s">
        <v>107</v>
      </c>
      <c r="D15" s="10" t="s">
        <v>78</v>
      </c>
      <c r="E15" s="11" t="n">
        <v>2</v>
      </c>
      <c r="F15" s="10" t="s">
        <v>94</v>
      </c>
      <c r="G15" s="11" t="n">
        <v>8</v>
      </c>
      <c r="H15" s="11" t="n">
        <v>11</v>
      </c>
      <c r="I15" s="10" t="n">
        <v>0</v>
      </c>
      <c r="J15" s="10" t="s">
        <v>79</v>
      </c>
      <c r="K15" s="10" t="str">
        <f aca="false">IF(H15&lt;=Parameters!$B$22,"Early",IF(H15&lt;=Parameters!$B$23,"Mid","Late"))</f>
        <v>Early</v>
      </c>
      <c r="L15" s="10" t="n">
        <f aca="false">ROUND(IF(D15="Minor",Parameters!$B$5,Parameters!$B$6)*INDEX(Parameters!$B$11:$B$13,MATCH(E15,Parameters!$A$11:$A$13,0))*Parameters!$B$7,0)</f>
        <v>3</v>
      </c>
      <c r="M15" s="12" t="n">
        <f aca="false">IF(K15="Early",Parameters!$B$16,IF(K15="Mid",Parameters!$B$17,Parameters!$B$18))</f>
        <v>2.5</v>
      </c>
      <c r="N15" s="13" t="n">
        <f aca="false">L15*(M15+Parameters!$B$19)</f>
        <v>9.75</v>
      </c>
    </row>
    <row r="16" customFormat="false" ht="15" hidden="false" customHeight="false" outlineLevel="0" collapsed="false">
      <c r="A16" s="9" t="s">
        <v>108</v>
      </c>
      <c r="B16" s="10" t="s">
        <v>100</v>
      </c>
      <c r="C16" s="10" t="s">
        <v>109</v>
      </c>
      <c r="D16" s="10" t="s">
        <v>78</v>
      </c>
      <c r="E16" s="11" t="n">
        <v>1</v>
      </c>
      <c r="F16" s="10" t="s">
        <v>102</v>
      </c>
      <c r="G16" s="11" t="n">
        <v>10</v>
      </c>
      <c r="H16" s="11" t="n">
        <v>12</v>
      </c>
      <c r="I16" s="10" t="n">
        <v>0</v>
      </c>
      <c r="J16" s="10" t="s">
        <v>79</v>
      </c>
      <c r="K16" s="10" t="str">
        <f aca="false">IF(H16&lt;=Parameters!$B$22,"Early",IF(H16&lt;=Parameters!$B$23,"Mid","Late"))</f>
        <v>Early</v>
      </c>
      <c r="L16" s="10" t="n">
        <f aca="false">ROUND(IF(D16="Minor",Parameters!$B$5,Parameters!$B$6)*INDEX(Parameters!$B$11:$B$13,MATCH(E16,Parameters!$A$11:$A$13,0))*Parameters!$B$7,0)</f>
        <v>2</v>
      </c>
      <c r="M16" s="12" t="n">
        <f aca="false">IF(K16="Early",Parameters!$B$16,IF(K16="Mid",Parameters!$B$17,Parameters!$B$18))</f>
        <v>2.5</v>
      </c>
      <c r="N16" s="13" t="n">
        <f aca="false">L16*(M16+Parameters!$B$19)</f>
        <v>6.5</v>
      </c>
    </row>
    <row r="17" customFormat="false" ht="15" hidden="false" customHeight="false" outlineLevel="0" collapsed="false">
      <c r="A17" s="9" t="s">
        <v>110</v>
      </c>
      <c r="B17" s="10" t="s">
        <v>100</v>
      </c>
      <c r="C17" s="10" t="s">
        <v>111</v>
      </c>
      <c r="D17" s="10" t="s">
        <v>96</v>
      </c>
      <c r="E17" s="11" t="n">
        <v>1</v>
      </c>
      <c r="F17" s="10" t="s">
        <v>112</v>
      </c>
      <c r="G17" s="11" t="n">
        <v>11</v>
      </c>
      <c r="H17" s="11" t="n">
        <v>13</v>
      </c>
      <c r="I17" s="10" t="n">
        <v>2</v>
      </c>
      <c r="J17" s="10" t="s">
        <v>113</v>
      </c>
      <c r="K17" s="10" t="str">
        <f aca="false">IF(H17&lt;=Parameters!$B$22,"Early",IF(H17&lt;=Parameters!$B$23,"Mid","Late"))</f>
        <v>Early</v>
      </c>
      <c r="L17" s="10" t="n">
        <f aca="false">ROUND(IF(D17="Minor",Parameters!$B$5,Parameters!$B$6)*INDEX(Parameters!$B$11:$B$13,MATCH(E17,Parameters!$A$11:$A$13,0))*Parameters!$B$7,0)</f>
        <v>5</v>
      </c>
      <c r="M17" s="12" t="n">
        <f aca="false">IF(K17="Early",Parameters!$B$16,IF(K17="Mid",Parameters!$B$17,Parameters!$B$18))</f>
        <v>2.5</v>
      </c>
      <c r="N17" s="13" t="n">
        <f aca="false">L17*(M17+Parameters!$B$19)</f>
        <v>16.25</v>
      </c>
    </row>
    <row r="18" customFormat="false" ht="15" hidden="false" customHeight="false" outlineLevel="0" collapsed="false">
      <c r="A18" s="9" t="s">
        <v>114</v>
      </c>
      <c r="B18" s="10" t="s">
        <v>115</v>
      </c>
      <c r="C18" s="10" t="s">
        <v>116</v>
      </c>
      <c r="D18" s="10" t="s">
        <v>78</v>
      </c>
      <c r="E18" s="11" t="n">
        <v>1</v>
      </c>
      <c r="F18" s="10" t="s">
        <v>104</v>
      </c>
      <c r="G18" s="11" t="n">
        <v>11</v>
      </c>
      <c r="H18" s="11" t="n">
        <v>14</v>
      </c>
      <c r="I18" s="10" t="n">
        <v>0</v>
      </c>
      <c r="J18" s="10" t="s">
        <v>79</v>
      </c>
      <c r="K18" s="10" t="str">
        <f aca="false">IF(H18&lt;=Parameters!$B$22,"Early",IF(H18&lt;=Parameters!$B$23,"Mid","Late"))</f>
        <v>Early</v>
      </c>
      <c r="L18" s="10" t="n">
        <f aca="false">ROUND(IF(D18="Minor",Parameters!$B$5,Parameters!$B$6)*INDEX(Parameters!$B$11:$B$13,MATCH(E18,Parameters!$A$11:$A$13,0))*Parameters!$B$7,0)</f>
        <v>2</v>
      </c>
      <c r="M18" s="12" t="n">
        <f aca="false">IF(K18="Early",Parameters!$B$16,IF(K18="Mid",Parameters!$B$17,Parameters!$B$18))</f>
        <v>2.5</v>
      </c>
      <c r="N18" s="13" t="n">
        <f aca="false">L18*(M18+Parameters!$B$19)</f>
        <v>6.5</v>
      </c>
    </row>
    <row r="19" customFormat="false" ht="15" hidden="false" customHeight="false" outlineLevel="0" collapsed="false">
      <c r="A19" s="9" t="s">
        <v>117</v>
      </c>
      <c r="B19" s="10" t="s">
        <v>115</v>
      </c>
      <c r="C19" s="10" t="s">
        <v>118</v>
      </c>
      <c r="D19" s="10" t="s">
        <v>78</v>
      </c>
      <c r="E19" s="11" t="n">
        <v>1</v>
      </c>
      <c r="F19" s="10" t="s">
        <v>114</v>
      </c>
      <c r="G19" s="11" t="n">
        <v>15</v>
      </c>
      <c r="H19" s="11" t="n">
        <v>15</v>
      </c>
      <c r="I19" s="10" t="n">
        <v>0</v>
      </c>
      <c r="J19" s="10" t="s">
        <v>79</v>
      </c>
      <c r="K19" s="10" t="str">
        <f aca="false">IF(H19&lt;=Parameters!$B$22,"Early",IF(H19&lt;=Parameters!$B$23,"Mid","Late"))</f>
        <v>Early</v>
      </c>
      <c r="L19" s="10" t="n">
        <f aca="false">ROUND(IF(D19="Minor",Parameters!$B$5,Parameters!$B$6)*INDEX(Parameters!$B$11:$B$13,MATCH(E19,Parameters!$A$11:$A$13,0))*Parameters!$B$7,0)</f>
        <v>2</v>
      </c>
      <c r="M19" s="12" t="n">
        <f aca="false">IF(K19="Early",Parameters!$B$16,IF(K19="Mid",Parameters!$B$17,Parameters!$B$18))</f>
        <v>2.5</v>
      </c>
      <c r="N19" s="13" t="n">
        <f aca="false">L19*(M19+Parameters!$B$19)</f>
        <v>6.5</v>
      </c>
    </row>
    <row r="20" customFormat="false" ht="15" hidden="false" customHeight="false" outlineLevel="0" collapsed="false">
      <c r="A20" s="9" t="s">
        <v>119</v>
      </c>
      <c r="B20" s="10" t="s">
        <v>100</v>
      </c>
      <c r="C20" s="10" t="s">
        <v>120</v>
      </c>
      <c r="D20" s="10" t="s">
        <v>78</v>
      </c>
      <c r="E20" s="11" t="n">
        <v>2</v>
      </c>
      <c r="F20" s="10" t="s">
        <v>110</v>
      </c>
      <c r="G20" s="11" t="n">
        <v>14</v>
      </c>
      <c r="H20" s="11" t="n">
        <v>16</v>
      </c>
      <c r="I20" s="10" t="n">
        <v>0</v>
      </c>
      <c r="J20" s="10" t="s">
        <v>79</v>
      </c>
      <c r="K20" s="10" t="str">
        <f aca="false">IF(H20&lt;=Parameters!$B$22,"Early",IF(H20&lt;=Parameters!$B$23,"Mid","Late"))</f>
        <v>Early</v>
      </c>
      <c r="L20" s="10" t="n">
        <f aca="false">ROUND(IF(D20="Minor",Parameters!$B$5,Parameters!$B$6)*INDEX(Parameters!$B$11:$B$13,MATCH(E20,Parameters!$A$11:$A$13,0))*Parameters!$B$7,0)</f>
        <v>3</v>
      </c>
      <c r="M20" s="12" t="n">
        <f aca="false">IF(K20="Early",Parameters!$B$16,IF(K20="Mid",Parameters!$B$17,Parameters!$B$18))</f>
        <v>2.5</v>
      </c>
      <c r="N20" s="13" t="n">
        <f aca="false">L20*(M20+Parameters!$B$19)</f>
        <v>9.75</v>
      </c>
    </row>
    <row r="21" customFormat="false" ht="15" hidden="false" customHeight="false" outlineLevel="0" collapsed="false">
      <c r="A21" s="9" t="s">
        <v>121</v>
      </c>
      <c r="B21" s="10" t="s">
        <v>115</v>
      </c>
      <c r="C21" s="10" t="s">
        <v>122</v>
      </c>
      <c r="D21" s="10" t="s">
        <v>78</v>
      </c>
      <c r="E21" s="11" t="n">
        <v>1</v>
      </c>
      <c r="F21" s="10" t="s">
        <v>114</v>
      </c>
      <c r="G21" s="11" t="n">
        <v>15</v>
      </c>
      <c r="H21" s="11" t="n">
        <v>17</v>
      </c>
      <c r="I21" s="10" t="n">
        <v>0</v>
      </c>
      <c r="J21" s="10" t="s">
        <v>79</v>
      </c>
      <c r="K21" s="10" t="str">
        <f aca="false">IF(H21&lt;=Parameters!$B$22,"Early",IF(H21&lt;=Parameters!$B$23,"Mid","Late"))</f>
        <v>Early</v>
      </c>
      <c r="L21" s="10" t="n">
        <f aca="false">ROUND(IF(D21="Minor",Parameters!$B$5,Parameters!$B$6)*INDEX(Parameters!$B$11:$B$13,MATCH(E21,Parameters!$A$11:$A$13,0))*Parameters!$B$7,0)</f>
        <v>2</v>
      </c>
      <c r="M21" s="12" t="n">
        <f aca="false">IF(K21="Early",Parameters!$B$16,IF(K21="Mid",Parameters!$B$17,Parameters!$B$18))</f>
        <v>2.5</v>
      </c>
      <c r="N21" s="13" t="n">
        <f aca="false">L21*(M21+Parameters!$B$19)</f>
        <v>6.5</v>
      </c>
    </row>
    <row r="22" customFormat="false" ht="15" hidden="false" customHeight="false" outlineLevel="0" collapsed="false">
      <c r="A22" s="9" t="s">
        <v>123</v>
      </c>
      <c r="B22" s="10" t="s">
        <v>115</v>
      </c>
      <c r="C22" s="10" t="s">
        <v>124</v>
      </c>
      <c r="D22" s="10" t="s">
        <v>78</v>
      </c>
      <c r="E22" s="11" t="n">
        <v>1</v>
      </c>
      <c r="F22" s="10" t="s">
        <v>117</v>
      </c>
      <c r="G22" s="11" t="n">
        <v>16</v>
      </c>
      <c r="H22" s="11" t="n">
        <v>18</v>
      </c>
      <c r="I22" s="10" t="n">
        <v>0</v>
      </c>
      <c r="J22" s="10" t="s">
        <v>79</v>
      </c>
      <c r="K22" s="10" t="str">
        <f aca="false">IF(H22&lt;=Parameters!$B$22,"Early",IF(H22&lt;=Parameters!$B$23,"Mid","Late"))</f>
        <v>Early</v>
      </c>
      <c r="L22" s="10" t="n">
        <f aca="false">ROUND(IF(D22="Minor",Parameters!$B$5,Parameters!$B$6)*INDEX(Parameters!$B$11:$B$13,MATCH(E22,Parameters!$A$11:$A$13,0))*Parameters!$B$7,0)</f>
        <v>2</v>
      </c>
      <c r="M22" s="12" t="n">
        <f aca="false">IF(K22="Early",Parameters!$B$16,IF(K22="Mid",Parameters!$B$17,Parameters!$B$18))</f>
        <v>2.5</v>
      </c>
      <c r="N22" s="13" t="n">
        <f aca="false">L22*(M22+Parameters!$B$19)</f>
        <v>6.5</v>
      </c>
    </row>
    <row r="23" customFormat="false" ht="15" hidden="false" customHeight="false" outlineLevel="0" collapsed="false">
      <c r="A23" s="9" t="s">
        <v>125</v>
      </c>
      <c r="B23" s="10" t="s">
        <v>115</v>
      </c>
      <c r="C23" s="10" t="s">
        <v>126</v>
      </c>
      <c r="D23" s="10" t="s">
        <v>96</v>
      </c>
      <c r="E23" s="11" t="n">
        <v>1</v>
      </c>
      <c r="F23" s="10" t="s">
        <v>127</v>
      </c>
      <c r="G23" s="11" t="n">
        <v>18</v>
      </c>
      <c r="H23" s="11" t="n">
        <v>19</v>
      </c>
      <c r="I23" s="10" t="n">
        <v>2</v>
      </c>
      <c r="J23" s="10" t="s">
        <v>128</v>
      </c>
      <c r="K23" s="10" t="str">
        <f aca="false">IF(H23&lt;=Parameters!$B$22,"Early",IF(H23&lt;=Parameters!$B$23,"Mid","Late"))</f>
        <v>Early</v>
      </c>
      <c r="L23" s="10" t="n">
        <f aca="false">ROUND(IF(D23="Minor",Parameters!$B$5,Parameters!$B$6)*INDEX(Parameters!$B$11:$B$13,MATCH(E23,Parameters!$A$11:$A$13,0))*Parameters!$B$7,0)</f>
        <v>5</v>
      </c>
      <c r="M23" s="12" t="n">
        <f aca="false">IF(K23="Early",Parameters!$B$16,IF(K23="Mid",Parameters!$B$17,Parameters!$B$18))</f>
        <v>2.5</v>
      </c>
      <c r="N23" s="13" t="n">
        <f aca="false">L23*(M23+Parameters!$B$19)</f>
        <v>16.25</v>
      </c>
    </row>
    <row r="24" customFormat="false" ht="15" hidden="false" customHeight="false" outlineLevel="0" collapsed="false">
      <c r="A24" s="9" t="s">
        <v>129</v>
      </c>
      <c r="B24" s="10" t="s">
        <v>91</v>
      </c>
      <c r="C24" s="10" t="s">
        <v>130</v>
      </c>
      <c r="D24" s="10" t="s">
        <v>78</v>
      </c>
      <c r="E24" s="11" t="n">
        <v>1</v>
      </c>
      <c r="F24" s="10" t="s">
        <v>125</v>
      </c>
      <c r="G24" s="11" t="n">
        <v>20</v>
      </c>
      <c r="H24" s="11" t="n">
        <v>20</v>
      </c>
      <c r="I24" s="10" t="n">
        <v>0</v>
      </c>
      <c r="J24" s="10" t="s">
        <v>131</v>
      </c>
      <c r="K24" s="10" t="str">
        <f aca="false">IF(H24&lt;=Parameters!$B$22,"Early",IF(H24&lt;=Parameters!$B$23,"Mid","Late"))</f>
        <v>Early</v>
      </c>
      <c r="L24" s="10" t="n">
        <f aca="false">ROUND(IF(D24="Minor",Parameters!$B$5,Parameters!$B$6)*INDEX(Parameters!$B$11:$B$13,MATCH(E24,Parameters!$A$11:$A$13,0))*Parameters!$B$7,0)</f>
        <v>2</v>
      </c>
      <c r="M24" s="12" t="n">
        <f aca="false">IF(K24="Early",Parameters!$B$16,IF(K24="Mid",Parameters!$B$17,Parameters!$B$18))</f>
        <v>2.5</v>
      </c>
      <c r="N24" s="13" t="n">
        <f aca="false">L24*(M24+Parameters!$B$19)</f>
        <v>6.5</v>
      </c>
    </row>
    <row r="25" customFormat="false" ht="15" hidden="false" customHeight="false" outlineLevel="0" collapsed="false">
      <c r="A25" s="9" t="s">
        <v>132</v>
      </c>
      <c r="B25" s="10" t="s">
        <v>133</v>
      </c>
      <c r="C25" s="10" t="s">
        <v>134</v>
      </c>
      <c r="D25" s="10" t="s">
        <v>78</v>
      </c>
      <c r="E25" s="11" t="n">
        <v>1</v>
      </c>
      <c r="F25" s="10" t="s">
        <v>121</v>
      </c>
      <c r="G25" s="11" t="n">
        <v>18</v>
      </c>
      <c r="H25" s="11" t="n">
        <v>21</v>
      </c>
      <c r="I25" s="10" t="n">
        <v>0</v>
      </c>
      <c r="J25" s="10" t="s">
        <v>79</v>
      </c>
      <c r="K25" s="10" t="str">
        <f aca="false">IF(H25&lt;=Parameters!$B$22,"Early",IF(H25&lt;=Parameters!$B$23,"Mid","Late"))</f>
        <v>Mid</v>
      </c>
      <c r="L25" s="10" t="n">
        <f aca="false">ROUND(IF(D25="Minor",Parameters!$B$5,Parameters!$B$6)*INDEX(Parameters!$B$11:$B$13,MATCH(E25,Parameters!$A$11:$A$13,0))*Parameters!$B$7,0)</f>
        <v>2</v>
      </c>
      <c r="M25" s="12" t="n">
        <f aca="false">IF(K25="Early",Parameters!$B$16,IF(K25="Mid",Parameters!$B$17,Parameters!$B$18))</f>
        <v>5.5</v>
      </c>
      <c r="N25" s="13" t="n">
        <f aca="false">L25*(M25+Parameters!$B$19)</f>
        <v>12.5</v>
      </c>
    </row>
    <row r="26" customFormat="false" ht="15" hidden="false" customHeight="false" outlineLevel="0" collapsed="false">
      <c r="A26" s="9" t="s">
        <v>135</v>
      </c>
      <c r="B26" s="10" t="s">
        <v>133</v>
      </c>
      <c r="C26" s="10" t="s">
        <v>136</v>
      </c>
      <c r="D26" s="10" t="s">
        <v>78</v>
      </c>
      <c r="E26" s="11" t="n">
        <v>1</v>
      </c>
      <c r="F26" s="10" t="s">
        <v>132</v>
      </c>
      <c r="G26" s="11" t="n">
        <v>22</v>
      </c>
      <c r="H26" s="11" t="n">
        <v>22</v>
      </c>
      <c r="I26" s="10" t="n">
        <v>0</v>
      </c>
      <c r="J26" s="10" t="s">
        <v>79</v>
      </c>
      <c r="K26" s="10" t="str">
        <f aca="false">IF(H26&lt;=Parameters!$B$22,"Early",IF(H26&lt;=Parameters!$B$23,"Mid","Late"))</f>
        <v>Mid</v>
      </c>
      <c r="L26" s="10" t="n">
        <f aca="false">ROUND(IF(D26="Minor",Parameters!$B$5,Parameters!$B$6)*INDEX(Parameters!$B$11:$B$13,MATCH(E26,Parameters!$A$11:$A$13,0))*Parameters!$B$7,0)</f>
        <v>2</v>
      </c>
      <c r="M26" s="12" t="n">
        <f aca="false">IF(K26="Early",Parameters!$B$16,IF(K26="Mid",Parameters!$B$17,Parameters!$B$18))</f>
        <v>5.5</v>
      </c>
      <c r="N26" s="13" t="n">
        <f aca="false">L26*(M26+Parameters!$B$19)</f>
        <v>12.5</v>
      </c>
    </row>
    <row r="27" customFormat="false" ht="15" hidden="false" customHeight="false" outlineLevel="0" collapsed="false">
      <c r="A27" s="9" t="s">
        <v>137</v>
      </c>
      <c r="B27" s="10" t="s">
        <v>115</v>
      </c>
      <c r="C27" s="10" t="s">
        <v>138</v>
      </c>
      <c r="D27" s="10" t="s">
        <v>78</v>
      </c>
      <c r="E27" s="11" t="n">
        <v>2</v>
      </c>
      <c r="F27" s="10" t="s">
        <v>125</v>
      </c>
      <c r="G27" s="11" t="n">
        <v>20</v>
      </c>
      <c r="H27" s="11" t="n">
        <v>23</v>
      </c>
      <c r="I27" s="10" t="n">
        <v>0</v>
      </c>
      <c r="J27" s="10" t="s">
        <v>79</v>
      </c>
      <c r="K27" s="10" t="str">
        <f aca="false">IF(H27&lt;=Parameters!$B$22,"Early",IF(H27&lt;=Parameters!$B$23,"Mid","Late"))</f>
        <v>Mid</v>
      </c>
      <c r="L27" s="10" t="n">
        <f aca="false">ROUND(IF(D27="Minor",Parameters!$B$5,Parameters!$B$6)*INDEX(Parameters!$B$11:$B$13,MATCH(E27,Parameters!$A$11:$A$13,0))*Parameters!$B$7,0)</f>
        <v>3</v>
      </c>
      <c r="M27" s="12" t="n">
        <f aca="false">IF(K27="Early",Parameters!$B$16,IF(K27="Mid",Parameters!$B$17,Parameters!$B$18))</f>
        <v>5.5</v>
      </c>
      <c r="N27" s="13" t="n">
        <f aca="false">L27*(M27+Parameters!$B$19)</f>
        <v>18.75</v>
      </c>
    </row>
    <row r="28" customFormat="false" ht="15" hidden="false" customHeight="false" outlineLevel="0" collapsed="false">
      <c r="A28" s="9" t="s">
        <v>139</v>
      </c>
      <c r="B28" s="10" t="s">
        <v>133</v>
      </c>
      <c r="C28" s="10" t="s">
        <v>140</v>
      </c>
      <c r="D28" s="10" t="s">
        <v>78</v>
      </c>
      <c r="E28" s="11" t="n">
        <v>1</v>
      </c>
      <c r="F28" s="10" t="s">
        <v>132</v>
      </c>
      <c r="G28" s="11" t="n">
        <v>22</v>
      </c>
      <c r="H28" s="11" t="n">
        <v>24</v>
      </c>
      <c r="I28" s="10" t="n">
        <v>0</v>
      </c>
      <c r="J28" s="10" t="s">
        <v>79</v>
      </c>
      <c r="K28" s="10" t="str">
        <f aca="false">IF(H28&lt;=Parameters!$B$22,"Early",IF(H28&lt;=Parameters!$B$23,"Mid","Late"))</f>
        <v>Mid</v>
      </c>
      <c r="L28" s="10" t="n">
        <f aca="false">ROUND(IF(D28="Minor",Parameters!$B$5,Parameters!$B$6)*INDEX(Parameters!$B$11:$B$13,MATCH(E28,Parameters!$A$11:$A$13,0))*Parameters!$B$7,0)</f>
        <v>2</v>
      </c>
      <c r="M28" s="12" t="n">
        <f aca="false">IF(K28="Early",Parameters!$B$16,IF(K28="Mid",Parameters!$B$17,Parameters!$B$18))</f>
        <v>5.5</v>
      </c>
      <c r="N28" s="13" t="n">
        <f aca="false">L28*(M28+Parameters!$B$19)</f>
        <v>12.5</v>
      </c>
    </row>
    <row r="29" customFormat="false" ht="15" hidden="false" customHeight="false" outlineLevel="0" collapsed="false">
      <c r="A29" s="9" t="s">
        <v>141</v>
      </c>
      <c r="B29" s="10" t="s">
        <v>133</v>
      </c>
      <c r="C29" s="10" t="s">
        <v>142</v>
      </c>
      <c r="D29" s="10" t="s">
        <v>78</v>
      </c>
      <c r="E29" s="11" t="n">
        <v>1</v>
      </c>
      <c r="F29" s="10" t="s">
        <v>135</v>
      </c>
      <c r="G29" s="11" t="n">
        <v>23</v>
      </c>
      <c r="H29" s="11" t="n">
        <v>25</v>
      </c>
      <c r="I29" s="10" t="n">
        <v>0</v>
      </c>
      <c r="J29" s="10" t="s">
        <v>79</v>
      </c>
      <c r="K29" s="10" t="str">
        <f aca="false">IF(H29&lt;=Parameters!$B$22,"Early",IF(H29&lt;=Parameters!$B$23,"Mid","Late"))</f>
        <v>Mid</v>
      </c>
      <c r="L29" s="10" t="n">
        <f aca="false">ROUND(IF(D29="Minor",Parameters!$B$5,Parameters!$B$6)*INDEX(Parameters!$B$11:$B$13,MATCH(E29,Parameters!$A$11:$A$13,0))*Parameters!$B$7,0)</f>
        <v>2</v>
      </c>
      <c r="M29" s="12" t="n">
        <f aca="false">IF(K29="Early",Parameters!$B$16,IF(K29="Mid",Parameters!$B$17,Parameters!$B$18))</f>
        <v>5.5</v>
      </c>
      <c r="N29" s="13" t="n">
        <f aca="false">L29*(M29+Parameters!$B$19)</f>
        <v>12.5</v>
      </c>
    </row>
    <row r="30" customFormat="false" ht="15" hidden="false" customHeight="false" outlineLevel="0" collapsed="false">
      <c r="A30" s="9" t="s">
        <v>143</v>
      </c>
      <c r="B30" s="10" t="s">
        <v>133</v>
      </c>
      <c r="C30" s="10" t="s">
        <v>144</v>
      </c>
      <c r="D30" s="10" t="s">
        <v>96</v>
      </c>
      <c r="E30" s="11" t="n">
        <v>1</v>
      </c>
      <c r="F30" s="10" t="s">
        <v>145</v>
      </c>
      <c r="G30" s="11" t="n">
        <v>25</v>
      </c>
      <c r="H30" s="11" t="n">
        <v>26</v>
      </c>
      <c r="I30" s="10" t="n">
        <v>2</v>
      </c>
      <c r="J30" s="10" t="s">
        <v>146</v>
      </c>
      <c r="K30" s="10" t="str">
        <f aca="false">IF(H30&lt;=Parameters!$B$22,"Early",IF(H30&lt;=Parameters!$B$23,"Mid","Late"))</f>
        <v>Mid</v>
      </c>
      <c r="L30" s="10" t="n">
        <f aca="false">ROUND(IF(D30="Minor",Parameters!$B$5,Parameters!$B$6)*INDEX(Parameters!$B$11:$B$13,MATCH(E30,Parameters!$A$11:$A$13,0))*Parameters!$B$7,0)</f>
        <v>5</v>
      </c>
      <c r="M30" s="12" t="n">
        <f aca="false">IF(K30="Early",Parameters!$B$16,IF(K30="Mid",Parameters!$B$17,Parameters!$B$18))</f>
        <v>5.5</v>
      </c>
      <c r="N30" s="13" t="n">
        <f aca="false">L30*(M30+Parameters!$B$19)</f>
        <v>31.25</v>
      </c>
    </row>
    <row r="31" customFormat="false" ht="15" hidden="false" customHeight="false" outlineLevel="0" collapsed="false">
      <c r="A31" s="9" t="s">
        <v>147</v>
      </c>
      <c r="B31" s="10" t="s">
        <v>83</v>
      </c>
      <c r="C31" s="10" t="s">
        <v>148</v>
      </c>
      <c r="D31" s="10" t="s">
        <v>96</v>
      </c>
      <c r="E31" s="11" t="n">
        <v>1</v>
      </c>
      <c r="F31" s="10" t="s">
        <v>143</v>
      </c>
      <c r="G31" s="11" t="n">
        <v>27</v>
      </c>
      <c r="H31" s="11" t="n">
        <v>27</v>
      </c>
      <c r="I31" s="10" t="n">
        <v>1</v>
      </c>
      <c r="J31" s="10" t="s">
        <v>149</v>
      </c>
      <c r="K31" s="10" t="str">
        <f aca="false">IF(H31&lt;=Parameters!$B$22,"Early",IF(H31&lt;=Parameters!$B$23,"Mid","Late"))</f>
        <v>Mid</v>
      </c>
      <c r="L31" s="10" t="n">
        <f aca="false">ROUND(IF(D31="Minor",Parameters!$B$5,Parameters!$B$6)*INDEX(Parameters!$B$11:$B$13,MATCH(E31,Parameters!$A$11:$A$13,0))*Parameters!$B$7,0)</f>
        <v>5</v>
      </c>
      <c r="M31" s="12" t="n">
        <f aca="false">IF(K31="Early",Parameters!$B$16,IF(K31="Mid",Parameters!$B$17,Parameters!$B$18))</f>
        <v>5.5</v>
      </c>
      <c r="N31" s="13" t="n">
        <f aca="false">L31*(M31+Parameters!$B$19)</f>
        <v>31.25</v>
      </c>
    </row>
    <row r="32" customFormat="false" ht="15" hidden="false" customHeight="false" outlineLevel="0" collapsed="false">
      <c r="A32" s="9" t="s">
        <v>150</v>
      </c>
      <c r="B32" s="10" t="s">
        <v>151</v>
      </c>
      <c r="C32" s="10" t="s">
        <v>152</v>
      </c>
      <c r="D32" s="10" t="s">
        <v>78</v>
      </c>
      <c r="E32" s="11" t="n">
        <v>1</v>
      </c>
      <c r="F32" s="10" t="s">
        <v>139</v>
      </c>
      <c r="G32" s="11" t="n">
        <v>25</v>
      </c>
      <c r="H32" s="11" t="n">
        <v>28</v>
      </c>
      <c r="I32" s="10" t="n">
        <v>0</v>
      </c>
      <c r="J32" s="10" t="s">
        <v>79</v>
      </c>
      <c r="K32" s="10" t="str">
        <f aca="false">IF(H32&lt;=Parameters!$B$22,"Early",IF(H32&lt;=Parameters!$B$23,"Mid","Late"))</f>
        <v>Mid</v>
      </c>
      <c r="L32" s="10" t="n">
        <f aca="false">ROUND(IF(D32="Minor",Parameters!$B$5,Parameters!$B$6)*INDEX(Parameters!$B$11:$B$13,MATCH(E32,Parameters!$A$11:$A$13,0))*Parameters!$B$7,0)</f>
        <v>2</v>
      </c>
      <c r="M32" s="12" t="n">
        <f aca="false">IF(K32="Early",Parameters!$B$16,IF(K32="Mid",Parameters!$B$17,Parameters!$B$18))</f>
        <v>5.5</v>
      </c>
      <c r="N32" s="13" t="n">
        <f aca="false">L32*(M32+Parameters!$B$19)</f>
        <v>12.5</v>
      </c>
    </row>
    <row r="33" customFormat="false" ht="15" hidden="false" customHeight="false" outlineLevel="0" collapsed="false">
      <c r="A33" s="9" t="s">
        <v>153</v>
      </c>
      <c r="B33" s="10" t="s">
        <v>151</v>
      </c>
      <c r="C33" s="10" t="s">
        <v>154</v>
      </c>
      <c r="D33" s="10" t="s">
        <v>78</v>
      </c>
      <c r="E33" s="11" t="n">
        <v>1</v>
      </c>
      <c r="F33" s="10" t="s">
        <v>150</v>
      </c>
      <c r="G33" s="11" t="n">
        <v>29</v>
      </c>
      <c r="H33" s="11" t="n">
        <v>29</v>
      </c>
      <c r="I33" s="10" t="n">
        <v>0</v>
      </c>
      <c r="J33" s="10" t="s">
        <v>79</v>
      </c>
      <c r="K33" s="10" t="str">
        <f aca="false">IF(H33&lt;=Parameters!$B$22,"Early",IF(H33&lt;=Parameters!$B$23,"Mid","Late"))</f>
        <v>Mid</v>
      </c>
      <c r="L33" s="10" t="n">
        <f aca="false">ROUND(IF(D33="Minor",Parameters!$B$5,Parameters!$B$6)*INDEX(Parameters!$B$11:$B$13,MATCH(E33,Parameters!$A$11:$A$13,0))*Parameters!$B$7,0)</f>
        <v>2</v>
      </c>
      <c r="M33" s="12" t="n">
        <f aca="false">IF(K33="Early",Parameters!$B$16,IF(K33="Mid",Parameters!$B$17,Parameters!$B$18))</f>
        <v>5.5</v>
      </c>
      <c r="N33" s="13" t="n">
        <f aca="false">L33*(M33+Parameters!$B$19)</f>
        <v>12.5</v>
      </c>
    </row>
    <row r="34" customFormat="false" ht="15" hidden="false" customHeight="false" outlineLevel="0" collapsed="false">
      <c r="A34" s="9" t="s">
        <v>155</v>
      </c>
      <c r="B34" s="10" t="s">
        <v>133</v>
      </c>
      <c r="C34" s="10" t="s">
        <v>156</v>
      </c>
      <c r="D34" s="10" t="s">
        <v>78</v>
      </c>
      <c r="E34" s="11" t="n">
        <v>2</v>
      </c>
      <c r="F34" s="10" t="s">
        <v>143</v>
      </c>
      <c r="G34" s="11" t="n">
        <v>27</v>
      </c>
      <c r="H34" s="11" t="n">
        <v>30</v>
      </c>
      <c r="I34" s="10" t="n">
        <v>0</v>
      </c>
      <c r="J34" s="10" t="s">
        <v>79</v>
      </c>
      <c r="K34" s="10" t="str">
        <f aca="false">IF(H34&lt;=Parameters!$B$22,"Early",IF(H34&lt;=Parameters!$B$23,"Mid","Late"))</f>
        <v>Mid</v>
      </c>
      <c r="L34" s="10" t="n">
        <f aca="false">ROUND(IF(D34="Minor",Parameters!$B$5,Parameters!$B$6)*INDEX(Parameters!$B$11:$B$13,MATCH(E34,Parameters!$A$11:$A$13,0))*Parameters!$B$7,0)</f>
        <v>3</v>
      </c>
      <c r="M34" s="12" t="n">
        <f aca="false">IF(K34="Early",Parameters!$B$16,IF(K34="Mid",Parameters!$B$17,Parameters!$B$18))</f>
        <v>5.5</v>
      </c>
      <c r="N34" s="13" t="n">
        <f aca="false">L34*(M34+Parameters!$B$19)</f>
        <v>18.75</v>
      </c>
    </row>
    <row r="35" customFormat="false" ht="15" hidden="false" customHeight="false" outlineLevel="0" collapsed="false">
      <c r="A35" s="9" t="s">
        <v>157</v>
      </c>
      <c r="B35" s="10" t="s">
        <v>151</v>
      </c>
      <c r="C35" s="10" t="s">
        <v>158</v>
      </c>
      <c r="D35" s="10" t="s">
        <v>78</v>
      </c>
      <c r="E35" s="11" t="n">
        <v>1</v>
      </c>
      <c r="F35" s="10" t="s">
        <v>150</v>
      </c>
      <c r="G35" s="11" t="n">
        <v>29</v>
      </c>
      <c r="H35" s="11" t="n">
        <v>31</v>
      </c>
      <c r="I35" s="10" t="n">
        <v>0</v>
      </c>
      <c r="J35" s="10" t="s">
        <v>79</v>
      </c>
      <c r="K35" s="10" t="str">
        <f aca="false">IF(H35&lt;=Parameters!$B$22,"Early",IF(H35&lt;=Parameters!$B$23,"Mid","Late"))</f>
        <v>Mid</v>
      </c>
      <c r="L35" s="10" t="n">
        <f aca="false">ROUND(IF(D35="Minor",Parameters!$B$5,Parameters!$B$6)*INDEX(Parameters!$B$11:$B$13,MATCH(E35,Parameters!$A$11:$A$13,0))*Parameters!$B$7,0)</f>
        <v>2</v>
      </c>
      <c r="M35" s="12" t="n">
        <f aca="false">IF(K35="Early",Parameters!$B$16,IF(K35="Mid",Parameters!$B$17,Parameters!$B$18))</f>
        <v>5.5</v>
      </c>
      <c r="N35" s="13" t="n">
        <f aca="false">L35*(M35+Parameters!$B$19)</f>
        <v>12.5</v>
      </c>
    </row>
    <row r="36" customFormat="false" ht="15" hidden="false" customHeight="false" outlineLevel="0" collapsed="false">
      <c r="A36" s="9" t="s">
        <v>159</v>
      </c>
      <c r="B36" s="10" t="s">
        <v>151</v>
      </c>
      <c r="C36" s="10" t="s">
        <v>160</v>
      </c>
      <c r="D36" s="10" t="s">
        <v>78</v>
      </c>
      <c r="E36" s="11" t="n">
        <v>1</v>
      </c>
      <c r="F36" s="10" t="s">
        <v>153</v>
      </c>
      <c r="G36" s="11" t="n">
        <v>30</v>
      </c>
      <c r="H36" s="11" t="n">
        <v>32</v>
      </c>
      <c r="I36" s="10" t="n">
        <v>0</v>
      </c>
      <c r="J36" s="10" t="s">
        <v>79</v>
      </c>
      <c r="K36" s="10" t="str">
        <f aca="false">IF(H36&lt;=Parameters!$B$22,"Early",IF(H36&lt;=Parameters!$B$23,"Mid","Late"))</f>
        <v>Mid</v>
      </c>
      <c r="L36" s="10" t="n">
        <f aca="false">ROUND(IF(D36="Minor",Parameters!$B$5,Parameters!$B$6)*INDEX(Parameters!$B$11:$B$13,MATCH(E36,Parameters!$A$11:$A$13,0))*Parameters!$B$7,0)</f>
        <v>2</v>
      </c>
      <c r="M36" s="12" t="n">
        <f aca="false">IF(K36="Early",Parameters!$B$16,IF(K36="Mid",Parameters!$B$17,Parameters!$B$18))</f>
        <v>5.5</v>
      </c>
      <c r="N36" s="13" t="n">
        <f aca="false">L36*(M36+Parameters!$B$19)</f>
        <v>12.5</v>
      </c>
    </row>
    <row r="37" customFormat="false" ht="15" hidden="false" customHeight="false" outlineLevel="0" collapsed="false">
      <c r="A37" s="9" t="s">
        <v>161</v>
      </c>
      <c r="B37" s="10" t="s">
        <v>151</v>
      </c>
      <c r="C37" s="10" t="s">
        <v>162</v>
      </c>
      <c r="D37" s="10" t="s">
        <v>96</v>
      </c>
      <c r="E37" s="11" t="n">
        <v>1</v>
      </c>
      <c r="F37" s="10" t="s">
        <v>163</v>
      </c>
      <c r="G37" s="11" t="n">
        <v>32</v>
      </c>
      <c r="H37" s="11" t="n">
        <v>33</v>
      </c>
      <c r="I37" s="10" t="n">
        <v>2</v>
      </c>
      <c r="J37" s="10" t="s">
        <v>164</v>
      </c>
      <c r="K37" s="10" t="str">
        <f aca="false">IF(H37&lt;=Parameters!$B$22,"Early",IF(H37&lt;=Parameters!$B$23,"Mid","Late"))</f>
        <v>Mid</v>
      </c>
      <c r="L37" s="10" t="n">
        <f aca="false">ROUND(IF(D37="Minor",Parameters!$B$5,Parameters!$B$6)*INDEX(Parameters!$B$11:$B$13,MATCH(E37,Parameters!$A$11:$A$13,0))*Parameters!$B$7,0)</f>
        <v>5</v>
      </c>
      <c r="M37" s="12" t="n">
        <f aca="false">IF(K37="Early",Parameters!$B$16,IF(K37="Mid",Parameters!$B$17,Parameters!$B$18))</f>
        <v>5.5</v>
      </c>
      <c r="N37" s="13" t="n">
        <f aca="false">L37*(M37+Parameters!$B$19)</f>
        <v>31.25</v>
      </c>
    </row>
    <row r="38" customFormat="false" ht="15" hidden="false" customHeight="false" outlineLevel="0" collapsed="false">
      <c r="A38" s="9" t="s">
        <v>165</v>
      </c>
      <c r="B38" s="10" t="s">
        <v>91</v>
      </c>
      <c r="C38" s="10" t="s">
        <v>166</v>
      </c>
      <c r="D38" s="10" t="s">
        <v>78</v>
      </c>
      <c r="E38" s="11" t="n">
        <v>2</v>
      </c>
      <c r="F38" s="10" t="s">
        <v>161</v>
      </c>
      <c r="G38" s="11" t="n">
        <v>34</v>
      </c>
      <c r="H38" s="11" t="n">
        <v>34</v>
      </c>
      <c r="I38" s="10" t="n">
        <v>0</v>
      </c>
      <c r="J38" s="10" t="s">
        <v>167</v>
      </c>
      <c r="K38" s="10" t="str">
        <f aca="false">IF(H38&lt;=Parameters!$B$22,"Early",IF(H38&lt;=Parameters!$B$23,"Mid","Late"))</f>
        <v>Mid</v>
      </c>
      <c r="L38" s="10" t="n">
        <f aca="false">ROUND(IF(D38="Minor",Parameters!$B$5,Parameters!$B$6)*INDEX(Parameters!$B$11:$B$13,MATCH(E38,Parameters!$A$11:$A$13,0))*Parameters!$B$7,0)</f>
        <v>3</v>
      </c>
      <c r="M38" s="12" t="n">
        <f aca="false">IF(K38="Early",Parameters!$B$16,IF(K38="Mid",Parameters!$B$17,Parameters!$B$18))</f>
        <v>5.5</v>
      </c>
      <c r="N38" s="13" t="n">
        <f aca="false">L38*(M38+Parameters!$B$19)</f>
        <v>18.75</v>
      </c>
    </row>
    <row r="39" customFormat="false" ht="15" hidden="false" customHeight="false" outlineLevel="0" collapsed="false">
      <c r="A39" s="9" t="s">
        <v>168</v>
      </c>
      <c r="B39" s="10" t="s">
        <v>169</v>
      </c>
      <c r="C39" s="10" t="s">
        <v>170</v>
      </c>
      <c r="D39" s="10" t="s">
        <v>78</v>
      </c>
      <c r="E39" s="11" t="n">
        <v>1</v>
      </c>
      <c r="F39" s="10" t="s">
        <v>157</v>
      </c>
      <c r="G39" s="11" t="n">
        <v>32</v>
      </c>
      <c r="H39" s="11" t="n">
        <v>35</v>
      </c>
      <c r="I39" s="10" t="n">
        <v>0</v>
      </c>
      <c r="J39" s="10" t="s">
        <v>79</v>
      </c>
      <c r="K39" s="10" t="str">
        <f aca="false">IF(H39&lt;=Parameters!$B$22,"Early",IF(H39&lt;=Parameters!$B$23,"Mid","Late"))</f>
        <v>Mid</v>
      </c>
      <c r="L39" s="10" t="n">
        <f aca="false">ROUND(IF(D39="Minor",Parameters!$B$5,Parameters!$B$6)*INDEX(Parameters!$B$11:$B$13,MATCH(E39,Parameters!$A$11:$A$13,0))*Parameters!$B$7,0)</f>
        <v>2</v>
      </c>
      <c r="M39" s="12" t="n">
        <f aca="false">IF(K39="Early",Parameters!$B$16,IF(K39="Mid",Parameters!$B$17,Parameters!$B$18))</f>
        <v>5.5</v>
      </c>
      <c r="N39" s="13" t="n">
        <f aca="false">L39*(M39+Parameters!$B$19)</f>
        <v>12.5</v>
      </c>
    </row>
    <row r="40" customFormat="false" ht="15" hidden="false" customHeight="false" outlineLevel="0" collapsed="false">
      <c r="A40" s="9" t="s">
        <v>171</v>
      </c>
      <c r="B40" s="10" t="s">
        <v>169</v>
      </c>
      <c r="C40" s="10" t="s">
        <v>172</v>
      </c>
      <c r="D40" s="10" t="s">
        <v>78</v>
      </c>
      <c r="E40" s="11" t="n">
        <v>1</v>
      </c>
      <c r="F40" s="10" t="s">
        <v>168</v>
      </c>
      <c r="G40" s="11" t="n">
        <v>36</v>
      </c>
      <c r="H40" s="11" t="n">
        <v>36</v>
      </c>
      <c r="I40" s="10" t="n">
        <v>0</v>
      </c>
      <c r="J40" s="10" t="s">
        <v>79</v>
      </c>
      <c r="K40" s="10" t="str">
        <f aca="false">IF(H40&lt;=Parameters!$B$22,"Early",IF(H40&lt;=Parameters!$B$23,"Mid","Late"))</f>
        <v>Mid</v>
      </c>
      <c r="L40" s="10" t="n">
        <f aca="false">ROUND(IF(D40="Minor",Parameters!$B$5,Parameters!$B$6)*INDEX(Parameters!$B$11:$B$13,MATCH(E40,Parameters!$A$11:$A$13,0))*Parameters!$B$7,0)</f>
        <v>2</v>
      </c>
      <c r="M40" s="12" t="n">
        <f aca="false">IF(K40="Early",Parameters!$B$16,IF(K40="Mid",Parameters!$B$17,Parameters!$B$18))</f>
        <v>5.5</v>
      </c>
      <c r="N40" s="13" t="n">
        <f aca="false">L40*(M40+Parameters!$B$19)</f>
        <v>12.5</v>
      </c>
    </row>
    <row r="41" customFormat="false" ht="15" hidden="false" customHeight="false" outlineLevel="0" collapsed="false">
      <c r="A41" s="9" t="s">
        <v>173</v>
      </c>
      <c r="B41" s="10" t="s">
        <v>151</v>
      </c>
      <c r="C41" s="10" t="s">
        <v>174</v>
      </c>
      <c r="D41" s="10" t="s">
        <v>78</v>
      </c>
      <c r="E41" s="11" t="n">
        <v>2</v>
      </c>
      <c r="F41" s="10" t="s">
        <v>161</v>
      </c>
      <c r="G41" s="11" t="n">
        <v>34</v>
      </c>
      <c r="H41" s="11" t="n">
        <v>37</v>
      </c>
      <c r="I41" s="10" t="n">
        <v>0</v>
      </c>
      <c r="J41" s="10" t="s">
        <v>79</v>
      </c>
      <c r="K41" s="10" t="str">
        <f aca="false">IF(H41&lt;=Parameters!$B$22,"Early",IF(H41&lt;=Parameters!$B$23,"Mid","Late"))</f>
        <v>Mid</v>
      </c>
      <c r="L41" s="10" t="n">
        <f aca="false">ROUND(IF(D41="Minor",Parameters!$B$5,Parameters!$B$6)*INDEX(Parameters!$B$11:$B$13,MATCH(E41,Parameters!$A$11:$A$13,0))*Parameters!$B$7,0)</f>
        <v>3</v>
      </c>
      <c r="M41" s="12" t="n">
        <f aca="false">IF(K41="Early",Parameters!$B$16,IF(K41="Mid",Parameters!$B$17,Parameters!$B$18))</f>
        <v>5.5</v>
      </c>
      <c r="N41" s="13" t="n">
        <f aca="false">L41*(M41+Parameters!$B$19)</f>
        <v>18.75</v>
      </c>
    </row>
    <row r="42" customFormat="false" ht="15" hidden="false" customHeight="false" outlineLevel="0" collapsed="false">
      <c r="A42" s="9" t="s">
        <v>175</v>
      </c>
      <c r="B42" s="10" t="s">
        <v>169</v>
      </c>
      <c r="C42" s="10" t="s">
        <v>176</v>
      </c>
      <c r="D42" s="10" t="s">
        <v>78</v>
      </c>
      <c r="E42" s="11" t="n">
        <v>1</v>
      </c>
      <c r="F42" s="10" t="s">
        <v>168</v>
      </c>
      <c r="G42" s="11" t="n">
        <v>36</v>
      </c>
      <c r="H42" s="11" t="n">
        <v>38</v>
      </c>
      <c r="I42" s="10" t="n">
        <v>0</v>
      </c>
      <c r="J42" s="10" t="s">
        <v>79</v>
      </c>
      <c r="K42" s="10" t="str">
        <f aca="false">IF(H42&lt;=Parameters!$B$22,"Early",IF(H42&lt;=Parameters!$B$23,"Mid","Late"))</f>
        <v>Mid</v>
      </c>
      <c r="L42" s="10" t="n">
        <f aca="false">ROUND(IF(D42="Minor",Parameters!$B$5,Parameters!$B$6)*INDEX(Parameters!$B$11:$B$13,MATCH(E42,Parameters!$A$11:$A$13,0))*Parameters!$B$7,0)</f>
        <v>2</v>
      </c>
      <c r="M42" s="12" t="n">
        <f aca="false">IF(K42="Early",Parameters!$B$16,IF(K42="Mid",Parameters!$B$17,Parameters!$B$18))</f>
        <v>5.5</v>
      </c>
      <c r="N42" s="13" t="n">
        <f aca="false">L42*(M42+Parameters!$B$19)</f>
        <v>12.5</v>
      </c>
    </row>
    <row r="43" customFormat="false" ht="15" hidden="false" customHeight="false" outlineLevel="0" collapsed="false">
      <c r="A43" s="9" t="s">
        <v>177</v>
      </c>
      <c r="B43" s="10" t="s">
        <v>169</v>
      </c>
      <c r="C43" s="10" t="s">
        <v>178</v>
      </c>
      <c r="D43" s="10" t="s">
        <v>78</v>
      </c>
      <c r="E43" s="11" t="n">
        <v>1</v>
      </c>
      <c r="F43" s="10" t="s">
        <v>171</v>
      </c>
      <c r="G43" s="11" t="n">
        <v>37</v>
      </c>
      <c r="H43" s="11" t="n">
        <v>39</v>
      </c>
      <c r="I43" s="10" t="n">
        <v>0</v>
      </c>
      <c r="J43" s="10" t="s">
        <v>79</v>
      </c>
      <c r="K43" s="10" t="str">
        <f aca="false">IF(H43&lt;=Parameters!$B$22,"Early",IF(H43&lt;=Parameters!$B$23,"Mid","Late"))</f>
        <v>Mid</v>
      </c>
      <c r="L43" s="10" t="n">
        <f aca="false">ROUND(IF(D43="Minor",Parameters!$B$5,Parameters!$B$6)*INDEX(Parameters!$B$11:$B$13,MATCH(E43,Parameters!$A$11:$A$13,0))*Parameters!$B$7,0)</f>
        <v>2</v>
      </c>
      <c r="M43" s="12" t="n">
        <f aca="false">IF(K43="Early",Parameters!$B$16,IF(K43="Mid",Parameters!$B$17,Parameters!$B$18))</f>
        <v>5.5</v>
      </c>
      <c r="N43" s="13" t="n">
        <f aca="false">L43*(M43+Parameters!$B$19)</f>
        <v>12.5</v>
      </c>
    </row>
    <row r="44" customFormat="false" ht="15" hidden="false" customHeight="false" outlineLevel="0" collapsed="false">
      <c r="A44" s="9" t="s">
        <v>179</v>
      </c>
      <c r="B44" s="10" t="s">
        <v>169</v>
      </c>
      <c r="C44" s="10" t="s">
        <v>180</v>
      </c>
      <c r="D44" s="10" t="s">
        <v>96</v>
      </c>
      <c r="E44" s="11" t="n">
        <v>1</v>
      </c>
      <c r="F44" s="10" t="s">
        <v>181</v>
      </c>
      <c r="G44" s="11" t="n">
        <v>39</v>
      </c>
      <c r="H44" s="11" t="n">
        <v>40</v>
      </c>
      <c r="I44" s="10" t="n">
        <v>2</v>
      </c>
      <c r="J44" s="10" t="s">
        <v>182</v>
      </c>
      <c r="K44" s="10" t="str">
        <f aca="false">IF(H44&lt;=Parameters!$B$22,"Early",IF(H44&lt;=Parameters!$B$23,"Mid","Late"))</f>
        <v>Mid</v>
      </c>
      <c r="L44" s="10" t="n">
        <f aca="false">ROUND(IF(D44="Minor",Parameters!$B$5,Parameters!$B$6)*INDEX(Parameters!$B$11:$B$13,MATCH(E44,Parameters!$A$11:$A$13,0))*Parameters!$B$7,0)</f>
        <v>5</v>
      </c>
      <c r="M44" s="12" t="n">
        <f aca="false">IF(K44="Early",Parameters!$B$16,IF(K44="Mid",Parameters!$B$17,Parameters!$B$18))</f>
        <v>5.5</v>
      </c>
      <c r="N44" s="13" t="n">
        <f aca="false">L44*(M44+Parameters!$B$19)</f>
        <v>31.25</v>
      </c>
    </row>
    <row r="45" customFormat="false" ht="15" hidden="false" customHeight="false" outlineLevel="0" collapsed="false">
      <c r="A45" s="9" t="s">
        <v>183</v>
      </c>
      <c r="B45" s="10" t="s">
        <v>184</v>
      </c>
      <c r="C45" s="10" t="s">
        <v>185</v>
      </c>
      <c r="D45" s="10" t="s">
        <v>78</v>
      </c>
      <c r="E45" s="11" t="n">
        <v>2</v>
      </c>
      <c r="F45" s="10" t="s">
        <v>179</v>
      </c>
      <c r="G45" s="11" t="n">
        <v>41</v>
      </c>
      <c r="H45" s="11" t="n">
        <v>41</v>
      </c>
      <c r="I45" s="10" t="n">
        <v>0</v>
      </c>
      <c r="J45" s="10" t="s">
        <v>79</v>
      </c>
      <c r="K45" s="10" t="str">
        <f aca="false">IF(H45&lt;=Parameters!$B$22,"Early",IF(H45&lt;=Parameters!$B$23,"Mid","Late"))</f>
        <v>Mid</v>
      </c>
      <c r="L45" s="10" t="n">
        <f aca="false">ROUND(IF(D45="Minor",Parameters!$B$5,Parameters!$B$6)*INDEX(Parameters!$B$11:$B$13,MATCH(E45,Parameters!$A$11:$A$13,0))*Parameters!$B$7,0)</f>
        <v>3</v>
      </c>
      <c r="M45" s="12" t="n">
        <f aca="false">IF(K45="Early",Parameters!$B$16,IF(K45="Mid",Parameters!$B$17,Parameters!$B$18))</f>
        <v>5.5</v>
      </c>
      <c r="N45" s="13" t="n">
        <f aca="false">L45*(M45+Parameters!$B$19)</f>
        <v>18.75</v>
      </c>
    </row>
    <row r="46" customFormat="false" ht="15" hidden="false" customHeight="false" outlineLevel="0" collapsed="false">
      <c r="A46" s="9" t="s">
        <v>186</v>
      </c>
      <c r="B46" s="10" t="s">
        <v>169</v>
      </c>
      <c r="C46" s="10" t="s">
        <v>187</v>
      </c>
      <c r="D46" s="10" t="s">
        <v>78</v>
      </c>
      <c r="E46" s="11" t="n">
        <v>2</v>
      </c>
      <c r="F46" s="10" t="s">
        <v>179</v>
      </c>
      <c r="G46" s="11" t="n">
        <v>41</v>
      </c>
      <c r="H46" s="11" t="n">
        <v>42</v>
      </c>
      <c r="I46" s="10" t="n">
        <v>0</v>
      </c>
      <c r="J46" s="10" t="s">
        <v>79</v>
      </c>
      <c r="K46" s="10" t="str">
        <f aca="false">IF(H46&lt;=Parameters!$B$22,"Early",IF(H46&lt;=Parameters!$B$23,"Mid","Late"))</f>
        <v>Mid</v>
      </c>
      <c r="L46" s="10" t="n">
        <f aca="false">ROUND(IF(D46="Minor",Parameters!$B$5,Parameters!$B$6)*INDEX(Parameters!$B$11:$B$13,MATCH(E46,Parameters!$A$11:$A$13,0))*Parameters!$B$7,0)</f>
        <v>3</v>
      </c>
      <c r="M46" s="12" t="n">
        <f aca="false">IF(K46="Early",Parameters!$B$16,IF(K46="Mid",Parameters!$B$17,Parameters!$B$18))</f>
        <v>5.5</v>
      </c>
      <c r="N46" s="13" t="n">
        <f aca="false">L46*(M46+Parameters!$B$19)</f>
        <v>18.75</v>
      </c>
    </row>
    <row r="47" customFormat="false" ht="15" hidden="false" customHeight="false" outlineLevel="0" collapsed="false">
      <c r="A47" s="9" t="s">
        <v>188</v>
      </c>
      <c r="B47" s="10" t="s">
        <v>184</v>
      </c>
      <c r="C47" s="10" t="s">
        <v>189</v>
      </c>
      <c r="D47" s="10" t="s">
        <v>78</v>
      </c>
      <c r="E47" s="11" t="n">
        <v>2</v>
      </c>
      <c r="F47" s="10" t="s">
        <v>183</v>
      </c>
      <c r="G47" s="11" t="n">
        <v>42</v>
      </c>
      <c r="H47" s="11" t="n">
        <v>43</v>
      </c>
      <c r="I47" s="10" t="n">
        <v>0</v>
      </c>
      <c r="J47" s="10" t="s">
        <v>79</v>
      </c>
      <c r="K47" s="10" t="str">
        <f aca="false">IF(H47&lt;=Parameters!$B$22,"Early",IF(H47&lt;=Parameters!$B$23,"Mid","Late"))</f>
        <v>Mid</v>
      </c>
      <c r="L47" s="10" t="n">
        <f aca="false">ROUND(IF(D47="Minor",Parameters!$B$5,Parameters!$B$6)*INDEX(Parameters!$B$11:$B$13,MATCH(E47,Parameters!$A$11:$A$13,0))*Parameters!$B$7,0)</f>
        <v>3</v>
      </c>
      <c r="M47" s="12" t="n">
        <f aca="false">IF(K47="Early",Parameters!$B$16,IF(K47="Mid",Parameters!$B$17,Parameters!$B$18))</f>
        <v>5.5</v>
      </c>
      <c r="N47" s="13" t="n">
        <f aca="false">L47*(M47+Parameters!$B$19)</f>
        <v>18.75</v>
      </c>
    </row>
    <row r="48" customFormat="false" ht="15" hidden="false" customHeight="false" outlineLevel="0" collapsed="false">
      <c r="A48" s="9" t="s">
        <v>190</v>
      </c>
      <c r="B48" s="10" t="s">
        <v>184</v>
      </c>
      <c r="C48" s="10" t="s">
        <v>191</v>
      </c>
      <c r="D48" s="10" t="s">
        <v>78</v>
      </c>
      <c r="E48" s="11" t="n">
        <v>2</v>
      </c>
      <c r="F48" s="10" t="s">
        <v>183</v>
      </c>
      <c r="G48" s="11" t="n">
        <v>42</v>
      </c>
      <c r="H48" s="11" t="n">
        <v>44</v>
      </c>
      <c r="I48" s="10" t="n">
        <v>0</v>
      </c>
      <c r="J48" s="10" t="s">
        <v>79</v>
      </c>
      <c r="K48" s="10" t="str">
        <f aca="false">IF(H48&lt;=Parameters!$B$22,"Early",IF(H48&lt;=Parameters!$B$23,"Mid","Late"))</f>
        <v>Mid</v>
      </c>
      <c r="L48" s="10" t="n">
        <f aca="false">ROUND(IF(D48="Minor",Parameters!$B$5,Parameters!$B$6)*INDEX(Parameters!$B$11:$B$13,MATCH(E48,Parameters!$A$11:$A$13,0))*Parameters!$B$7,0)</f>
        <v>3</v>
      </c>
      <c r="M48" s="12" t="n">
        <f aca="false">IF(K48="Early",Parameters!$B$16,IF(K48="Mid",Parameters!$B$17,Parameters!$B$18))</f>
        <v>5.5</v>
      </c>
      <c r="N48" s="13" t="n">
        <f aca="false">L48*(M48+Parameters!$B$19)</f>
        <v>18.75</v>
      </c>
    </row>
    <row r="49" customFormat="false" ht="15" hidden="false" customHeight="false" outlineLevel="0" collapsed="false">
      <c r="A49" s="9" t="s">
        <v>192</v>
      </c>
      <c r="B49" s="10" t="s">
        <v>76</v>
      </c>
      <c r="C49" s="10" t="s">
        <v>193</v>
      </c>
      <c r="D49" s="10" t="s">
        <v>96</v>
      </c>
      <c r="E49" s="11" t="n">
        <v>2</v>
      </c>
      <c r="F49" s="10" t="s">
        <v>194</v>
      </c>
      <c r="G49" s="11" t="n">
        <v>14</v>
      </c>
      <c r="H49" s="11" t="n">
        <v>45</v>
      </c>
      <c r="I49" s="10" t="n">
        <v>3</v>
      </c>
      <c r="J49" s="10" t="s">
        <v>195</v>
      </c>
      <c r="K49" s="10" t="str">
        <f aca="false">IF(H49&lt;=Parameters!$B$22,"Early",IF(H49&lt;=Parameters!$B$23,"Mid","Late"))</f>
        <v>Mid</v>
      </c>
      <c r="L49" s="10" t="n">
        <f aca="false">ROUND(IF(D49="Minor",Parameters!$B$5,Parameters!$B$6)*INDEX(Parameters!$B$11:$B$13,MATCH(E49,Parameters!$A$11:$A$13,0))*Parameters!$B$7,0)</f>
        <v>8</v>
      </c>
      <c r="M49" s="12" t="n">
        <f aca="false">IF(K49="Early",Parameters!$B$16,IF(K49="Mid",Parameters!$B$17,Parameters!$B$18))</f>
        <v>5.5</v>
      </c>
      <c r="N49" s="13" t="n">
        <f aca="false">L49*(M49+Parameters!$B$19)</f>
        <v>50</v>
      </c>
    </row>
    <row r="50" customFormat="false" ht="15" hidden="false" customHeight="false" outlineLevel="0" collapsed="false">
      <c r="A50" s="9" t="s">
        <v>196</v>
      </c>
      <c r="B50" s="10" t="s">
        <v>83</v>
      </c>
      <c r="C50" s="10" t="s">
        <v>197</v>
      </c>
      <c r="D50" s="10" t="s">
        <v>96</v>
      </c>
      <c r="E50" s="11" t="n">
        <v>2</v>
      </c>
      <c r="F50" s="10" t="s">
        <v>198</v>
      </c>
      <c r="G50" s="11" t="n">
        <v>46</v>
      </c>
      <c r="H50" s="11" t="n">
        <v>46</v>
      </c>
      <c r="I50" s="10" t="n">
        <v>2</v>
      </c>
      <c r="J50" s="10" t="s">
        <v>199</v>
      </c>
      <c r="K50" s="10" t="str">
        <f aca="false">IF(H50&lt;=Parameters!$B$22,"Early",IF(H50&lt;=Parameters!$B$23,"Mid","Late"))</f>
        <v>Late</v>
      </c>
      <c r="L50" s="10" t="n">
        <f aca="false">ROUND(IF(D50="Minor",Parameters!$B$5,Parameters!$B$6)*INDEX(Parameters!$B$11:$B$13,MATCH(E50,Parameters!$A$11:$A$13,0))*Parameters!$B$7,0)</f>
        <v>8</v>
      </c>
      <c r="M50" s="12" t="n">
        <f aca="false">IF(K50="Early",Parameters!$B$16,IF(K50="Mid",Parameters!$B$17,Parameters!$B$18))</f>
        <v>10</v>
      </c>
      <c r="N50" s="13" t="n">
        <f aca="false">L50*(M50+Parameters!$B$19)</f>
        <v>86</v>
      </c>
    </row>
    <row r="51" customFormat="false" ht="15" hidden="false" customHeight="false" outlineLevel="0" collapsed="false">
      <c r="A51" s="9" t="s">
        <v>200</v>
      </c>
      <c r="B51" s="10" t="s">
        <v>100</v>
      </c>
      <c r="C51" s="10" t="s">
        <v>201</v>
      </c>
      <c r="D51" s="10" t="s">
        <v>96</v>
      </c>
      <c r="E51" s="11" t="n">
        <v>2</v>
      </c>
      <c r="F51" s="10" t="s">
        <v>202</v>
      </c>
      <c r="G51" s="11" t="n">
        <v>46</v>
      </c>
      <c r="H51" s="11" t="n">
        <v>47</v>
      </c>
      <c r="I51" s="10" t="n">
        <v>3</v>
      </c>
      <c r="J51" s="10" t="s">
        <v>203</v>
      </c>
      <c r="K51" s="10" t="str">
        <f aca="false">IF(H51&lt;=Parameters!$B$22,"Early",IF(H51&lt;=Parameters!$B$23,"Mid","Late"))</f>
        <v>Late</v>
      </c>
      <c r="L51" s="10" t="n">
        <f aca="false">ROUND(IF(D51="Minor",Parameters!$B$5,Parameters!$B$6)*INDEX(Parameters!$B$11:$B$13,MATCH(E51,Parameters!$A$11:$A$13,0))*Parameters!$B$7,0)</f>
        <v>8</v>
      </c>
      <c r="M51" s="12" t="n">
        <f aca="false">IF(K51="Early",Parameters!$B$16,IF(K51="Mid",Parameters!$B$17,Parameters!$B$18))</f>
        <v>10</v>
      </c>
      <c r="N51" s="13" t="n">
        <f aca="false">L51*(M51+Parameters!$B$19)</f>
        <v>86</v>
      </c>
    </row>
    <row r="52" customFormat="false" ht="15" hidden="false" customHeight="false" outlineLevel="0" collapsed="false">
      <c r="A52" s="9" t="s">
        <v>204</v>
      </c>
      <c r="B52" s="10" t="s">
        <v>115</v>
      </c>
      <c r="C52" s="10" t="s">
        <v>205</v>
      </c>
      <c r="D52" s="10" t="s">
        <v>96</v>
      </c>
      <c r="E52" s="11" t="n">
        <v>2</v>
      </c>
      <c r="F52" s="10" t="s">
        <v>206</v>
      </c>
      <c r="G52" s="11" t="n">
        <v>27</v>
      </c>
      <c r="H52" s="11" t="n">
        <v>48</v>
      </c>
      <c r="I52" s="10" t="n">
        <v>3</v>
      </c>
      <c r="J52" s="10" t="s">
        <v>207</v>
      </c>
      <c r="K52" s="10" t="str">
        <f aca="false">IF(H52&lt;=Parameters!$B$22,"Early",IF(H52&lt;=Parameters!$B$23,"Mid","Late"))</f>
        <v>Late</v>
      </c>
      <c r="L52" s="10" t="n">
        <f aca="false">ROUND(IF(D52="Minor",Parameters!$B$5,Parameters!$B$6)*INDEX(Parameters!$B$11:$B$13,MATCH(E52,Parameters!$A$11:$A$13,0))*Parameters!$B$7,0)</f>
        <v>8</v>
      </c>
      <c r="M52" s="12" t="n">
        <f aca="false">IF(K52="Early",Parameters!$B$16,IF(K52="Mid",Parameters!$B$17,Parameters!$B$18))</f>
        <v>10</v>
      </c>
      <c r="N52" s="13" t="n">
        <f aca="false">L52*(M52+Parameters!$B$19)</f>
        <v>86</v>
      </c>
    </row>
    <row r="53" customFormat="false" ht="15" hidden="false" customHeight="false" outlineLevel="0" collapsed="false">
      <c r="A53" s="9" t="s">
        <v>208</v>
      </c>
      <c r="B53" s="10" t="s">
        <v>133</v>
      </c>
      <c r="C53" s="10" t="s">
        <v>209</v>
      </c>
      <c r="D53" s="10" t="s">
        <v>96</v>
      </c>
      <c r="E53" s="11" t="n">
        <v>2</v>
      </c>
      <c r="F53" s="10" t="s">
        <v>210</v>
      </c>
      <c r="G53" s="11" t="n">
        <v>48</v>
      </c>
      <c r="H53" s="11" t="n">
        <v>49</v>
      </c>
      <c r="I53" s="10" t="n">
        <v>3</v>
      </c>
      <c r="J53" s="10" t="s">
        <v>211</v>
      </c>
      <c r="K53" s="10" t="str">
        <f aca="false">IF(H53&lt;=Parameters!$B$22,"Early",IF(H53&lt;=Parameters!$B$23,"Mid","Late"))</f>
        <v>Late</v>
      </c>
      <c r="L53" s="10" t="n">
        <f aca="false">ROUND(IF(D53="Minor",Parameters!$B$5,Parameters!$B$6)*INDEX(Parameters!$B$11:$B$13,MATCH(E53,Parameters!$A$11:$A$13,0))*Parameters!$B$7,0)</f>
        <v>8</v>
      </c>
      <c r="M53" s="12" t="n">
        <f aca="false">IF(K53="Early",Parameters!$B$16,IF(K53="Mid",Parameters!$B$17,Parameters!$B$18))</f>
        <v>10</v>
      </c>
      <c r="N53" s="13" t="n">
        <f aca="false">L53*(M53+Parameters!$B$19)</f>
        <v>86</v>
      </c>
    </row>
    <row r="54" customFormat="false" ht="15" hidden="false" customHeight="false" outlineLevel="0" collapsed="false">
      <c r="A54" s="9" t="s">
        <v>212</v>
      </c>
      <c r="B54" s="10" t="s">
        <v>151</v>
      </c>
      <c r="C54" s="10" t="s">
        <v>213</v>
      </c>
      <c r="D54" s="10" t="s">
        <v>96</v>
      </c>
      <c r="E54" s="11" t="n">
        <v>2</v>
      </c>
      <c r="F54" s="10" t="s">
        <v>214</v>
      </c>
      <c r="G54" s="11" t="n">
        <v>49</v>
      </c>
      <c r="H54" s="11" t="n">
        <v>50</v>
      </c>
      <c r="I54" s="10" t="n">
        <v>3</v>
      </c>
      <c r="J54" s="10" t="s">
        <v>215</v>
      </c>
      <c r="K54" s="10" t="str">
        <f aca="false">IF(H54&lt;=Parameters!$B$22,"Early",IF(H54&lt;=Parameters!$B$23,"Mid","Late"))</f>
        <v>Late</v>
      </c>
      <c r="L54" s="10" t="n">
        <f aca="false">ROUND(IF(D54="Minor",Parameters!$B$5,Parameters!$B$6)*INDEX(Parameters!$B$11:$B$13,MATCH(E54,Parameters!$A$11:$A$13,0))*Parameters!$B$7,0)</f>
        <v>8</v>
      </c>
      <c r="M54" s="12" t="n">
        <f aca="false">IF(K54="Early",Parameters!$B$16,IF(K54="Mid",Parameters!$B$17,Parameters!$B$18))</f>
        <v>10</v>
      </c>
      <c r="N54" s="13" t="n">
        <f aca="false">L54*(M54+Parameters!$B$19)</f>
        <v>86</v>
      </c>
    </row>
    <row r="55" customFormat="false" ht="15" hidden="false" customHeight="false" outlineLevel="0" collapsed="false">
      <c r="A55" s="9" t="s">
        <v>216</v>
      </c>
      <c r="B55" s="10" t="s">
        <v>169</v>
      </c>
      <c r="C55" s="10" t="s">
        <v>217</v>
      </c>
      <c r="D55" s="10" t="s">
        <v>96</v>
      </c>
      <c r="E55" s="11" t="n">
        <v>2</v>
      </c>
      <c r="F55" s="10" t="s">
        <v>218</v>
      </c>
      <c r="G55" s="11" t="n">
        <v>50</v>
      </c>
      <c r="H55" s="11" t="n">
        <v>51</v>
      </c>
      <c r="I55" s="10" t="n">
        <v>3</v>
      </c>
      <c r="J55" s="10" t="s">
        <v>219</v>
      </c>
      <c r="K55" s="10" t="str">
        <f aca="false">IF(H55&lt;=Parameters!$B$22,"Early",IF(H55&lt;=Parameters!$B$23,"Mid","Late"))</f>
        <v>Late</v>
      </c>
      <c r="L55" s="10" t="n">
        <f aca="false">ROUND(IF(D55="Minor",Parameters!$B$5,Parameters!$B$6)*INDEX(Parameters!$B$11:$B$13,MATCH(E55,Parameters!$A$11:$A$13,0))*Parameters!$B$7,0)</f>
        <v>8</v>
      </c>
      <c r="M55" s="12" t="n">
        <f aca="false">IF(K55="Early",Parameters!$B$16,IF(K55="Mid",Parameters!$B$17,Parameters!$B$18))</f>
        <v>10</v>
      </c>
      <c r="N55" s="13" t="n">
        <f aca="false">L55*(M55+Parameters!$B$19)</f>
        <v>86</v>
      </c>
    </row>
    <row r="56" customFormat="false" ht="15" hidden="false" customHeight="false" outlineLevel="0" collapsed="false">
      <c r="A56" s="9" t="s">
        <v>220</v>
      </c>
      <c r="B56" s="10" t="s">
        <v>184</v>
      </c>
      <c r="C56" s="10" t="s">
        <v>221</v>
      </c>
      <c r="D56" s="10" t="s">
        <v>96</v>
      </c>
      <c r="E56" s="11" t="n">
        <v>3</v>
      </c>
      <c r="F56" s="10" t="s">
        <v>222</v>
      </c>
      <c r="G56" s="11" t="n">
        <v>45</v>
      </c>
      <c r="H56" s="11" t="n">
        <v>52</v>
      </c>
      <c r="I56" s="10" t="n">
        <v>3</v>
      </c>
      <c r="J56" s="10" t="s">
        <v>223</v>
      </c>
      <c r="K56" s="10" t="str">
        <f aca="false">IF(H56&lt;=Parameters!$B$22,"Early",IF(H56&lt;=Parameters!$B$23,"Mid","Late"))</f>
        <v>Late</v>
      </c>
      <c r="L56" s="10" t="n">
        <f aca="false">ROUND(IF(D56="Minor",Parameters!$B$5,Parameters!$B$6)*INDEX(Parameters!$B$11:$B$13,MATCH(E56,Parameters!$A$11:$A$13,0))*Parameters!$B$7,0)</f>
        <v>10</v>
      </c>
      <c r="M56" s="12" t="n">
        <f aca="false">IF(K56="Early",Parameters!$B$16,IF(K56="Mid",Parameters!$B$17,Parameters!$B$18))</f>
        <v>10</v>
      </c>
      <c r="N56" s="13" t="n">
        <f aca="false">L56*(M56+Parameters!$B$19)</f>
        <v>107.5</v>
      </c>
    </row>
    <row r="57" customFormat="false" ht="15" hidden="false" customHeight="false" outlineLevel="0" collapsed="false">
      <c r="A57" s="9" t="s">
        <v>224</v>
      </c>
      <c r="B57" s="10" t="s">
        <v>76</v>
      </c>
      <c r="C57" s="10" t="s">
        <v>225</v>
      </c>
      <c r="D57" s="10" t="s">
        <v>96</v>
      </c>
      <c r="E57" s="11" t="n">
        <v>3</v>
      </c>
      <c r="F57" s="10" t="s">
        <v>226</v>
      </c>
      <c r="G57" s="11" t="n">
        <v>49</v>
      </c>
      <c r="H57" s="11" t="n">
        <v>53</v>
      </c>
      <c r="I57" s="10" t="n">
        <v>4</v>
      </c>
      <c r="J57" s="10" t="s">
        <v>227</v>
      </c>
      <c r="K57" s="10" t="str">
        <f aca="false">IF(H57&lt;=Parameters!$B$22,"Early",IF(H57&lt;=Parameters!$B$23,"Mid","Late"))</f>
        <v>Late</v>
      </c>
      <c r="L57" s="10" t="n">
        <f aca="false">ROUND(IF(D57="Minor",Parameters!$B$5,Parameters!$B$6)*INDEX(Parameters!$B$11:$B$13,MATCH(E57,Parameters!$A$11:$A$13,0))*Parameters!$B$7,0)</f>
        <v>10</v>
      </c>
      <c r="M57" s="12" t="n">
        <f aca="false">IF(K57="Early",Parameters!$B$16,IF(K57="Mid",Parameters!$B$17,Parameters!$B$18))</f>
        <v>10</v>
      </c>
      <c r="N57" s="13" t="n">
        <f aca="false">L57*(M57+Parameters!$B$19)</f>
        <v>107.5</v>
      </c>
    </row>
    <row r="58" customFormat="false" ht="15" hidden="false" customHeight="false" outlineLevel="0" collapsed="false">
      <c r="A58" s="9" t="s">
        <v>228</v>
      </c>
      <c r="B58" s="10" t="s">
        <v>83</v>
      </c>
      <c r="C58" s="10" t="s">
        <v>229</v>
      </c>
      <c r="D58" s="10" t="s">
        <v>96</v>
      </c>
      <c r="E58" s="11" t="n">
        <v>3</v>
      </c>
      <c r="F58" s="10" t="s">
        <v>230</v>
      </c>
      <c r="G58" s="11" t="n">
        <v>51</v>
      </c>
      <c r="H58" s="11" t="n">
        <v>54</v>
      </c>
      <c r="I58" s="10" t="n">
        <v>3</v>
      </c>
      <c r="J58" s="10" t="s">
        <v>231</v>
      </c>
      <c r="K58" s="10" t="str">
        <f aca="false">IF(H58&lt;=Parameters!$B$22,"Early",IF(H58&lt;=Parameters!$B$23,"Mid","Late"))</f>
        <v>Late</v>
      </c>
      <c r="L58" s="10" t="n">
        <f aca="false">ROUND(IF(D58="Minor",Parameters!$B$5,Parameters!$B$6)*INDEX(Parameters!$B$11:$B$13,MATCH(E58,Parameters!$A$11:$A$13,0))*Parameters!$B$7,0)</f>
        <v>10</v>
      </c>
      <c r="M58" s="12" t="n">
        <f aca="false">IF(K58="Early",Parameters!$B$16,IF(K58="Mid",Parameters!$B$17,Parameters!$B$18))</f>
        <v>10</v>
      </c>
      <c r="N58" s="13" t="n">
        <f aca="false">L58*(M58+Parameters!$B$19)</f>
        <v>107.5</v>
      </c>
    </row>
    <row r="59" customFormat="false" ht="15" hidden="false" customHeight="false" outlineLevel="0" collapsed="false">
      <c r="A59" s="9" t="s">
        <v>232</v>
      </c>
      <c r="B59" s="10" t="s">
        <v>100</v>
      </c>
      <c r="C59" s="10" t="s">
        <v>233</v>
      </c>
      <c r="D59" s="10" t="s">
        <v>96</v>
      </c>
      <c r="E59" s="11" t="n">
        <v>3</v>
      </c>
      <c r="F59" s="10" t="s">
        <v>234</v>
      </c>
      <c r="G59" s="11" t="n">
        <v>50</v>
      </c>
      <c r="H59" s="11" t="n">
        <v>55</v>
      </c>
      <c r="I59" s="10" t="n">
        <v>4</v>
      </c>
      <c r="J59" s="10" t="s">
        <v>235</v>
      </c>
      <c r="K59" s="10" t="str">
        <f aca="false">IF(H59&lt;=Parameters!$B$22,"Early",IF(H59&lt;=Parameters!$B$23,"Mid","Late"))</f>
        <v>Late</v>
      </c>
      <c r="L59" s="10" t="n">
        <f aca="false">ROUND(IF(D59="Minor",Parameters!$B$5,Parameters!$B$6)*INDEX(Parameters!$B$11:$B$13,MATCH(E59,Parameters!$A$11:$A$13,0))*Parameters!$B$7,0)</f>
        <v>10</v>
      </c>
      <c r="M59" s="12" t="n">
        <f aca="false">IF(K59="Early",Parameters!$B$16,IF(K59="Mid",Parameters!$B$17,Parameters!$B$18))</f>
        <v>10</v>
      </c>
      <c r="N59" s="13" t="n">
        <f aca="false">L59*(M59+Parameters!$B$19)</f>
        <v>107.5</v>
      </c>
    </row>
    <row r="60" customFormat="false" ht="15" hidden="false" customHeight="false" outlineLevel="0" collapsed="false">
      <c r="A60" s="9" t="s">
        <v>236</v>
      </c>
      <c r="B60" s="10" t="s">
        <v>133</v>
      </c>
      <c r="C60" s="10" t="s">
        <v>237</v>
      </c>
      <c r="D60" s="10" t="s">
        <v>96</v>
      </c>
      <c r="E60" s="11" t="n">
        <v>3</v>
      </c>
      <c r="F60" s="10" t="s">
        <v>238</v>
      </c>
      <c r="G60" s="11" t="n">
        <v>51</v>
      </c>
      <c r="H60" s="11" t="n">
        <v>56</v>
      </c>
      <c r="I60" s="10" t="n">
        <v>4</v>
      </c>
      <c r="J60" s="10" t="s">
        <v>239</v>
      </c>
      <c r="K60" s="10" t="str">
        <f aca="false">IF(H60&lt;=Parameters!$B$22,"Early",IF(H60&lt;=Parameters!$B$23,"Mid","Late"))</f>
        <v>Late</v>
      </c>
      <c r="L60" s="10" t="n">
        <f aca="false">ROUND(IF(D60="Minor",Parameters!$B$5,Parameters!$B$6)*INDEX(Parameters!$B$11:$B$13,MATCH(E60,Parameters!$A$11:$A$13,0))*Parameters!$B$7,0)</f>
        <v>10</v>
      </c>
      <c r="M60" s="12" t="n">
        <f aca="false">IF(K60="Early",Parameters!$B$16,IF(K60="Mid",Parameters!$B$17,Parameters!$B$18))</f>
        <v>10</v>
      </c>
      <c r="N60" s="13" t="n">
        <f aca="false">L60*(M60+Parameters!$B$19)</f>
        <v>107.5</v>
      </c>
    </row>
    <row r="61" customFormat="false" ht="15" hidden="false" customHeight="false" outlineLevel="0" collapsed="false">
      <c r="A61" s="9" t="s">
        <v>240</v>
      </c>
      <c r="B61" s="10" t="s">
        <v>151</v>
      </c>
      <c r="C61" s="10" t="s">
        <v>241</v>
      </c>
      <c r="D61" s="10" t="s">
        <v>96</v>
      </c>
      <c r="E61" s="11" t="n">
        <v>3</v>
      </c>
      <c r="F61" s="10" t="s">
        <v>242</v>
      </c>
      <c r="G61" s="11" t="n">
        <v>52</v>
      </c>
      <c r="H61" s="11" t="n">
        <v>57</v>
      </c>
      <c r="I61" s="10" t="n">
        <v>4</v>
      </c>
      <c r="J61" s="10" t="s">
        <v>243</v>
      </c>
      <c r="K61" s="10" t="str">
        <f aca="false">IF(H61&lt;=Parameters!$B$22,"Early",IF(H61&lt;=Parameters!$B$23,"Mid","Late"))</f>
        <v>Late</v>
      </c>
      <c r="L61" s="10" t="n">
        <f aca="false">ROUND(IF(D61="Minor",Parameters!$B$5,Parameters!$B$6)*INDEX(Parameters!$B$11:$B$13,MATCH(E61,Parameters!$A$11:$A$13,0))*Parameters!$B$7,0)</f>
        <v>10</v>
      </c>
      <c r="M61" s="12" t="n">
        <f aca="false">IF(K61="Early",Parameters!$B$16,IF(K61="Mid",Parameters!$B$17,Parameters!$B$18))</f>
        <v>10</v>
      </c>
      <c r="N61" s="13" t="n">
        <f aca="false">L61*(M61+Parameters!$B$19)</f>
        <v>107.5</v>
      </c>
    </row>
    <row r="62" customFormat="false" ht="15" hidden="false" customHeight="false" outlineLevel="0" collapsed="false">
      <c r="A62" s="9" t="s">
        <v>244</v>
      </c>
      <c r="B62" s="10" t="s">
        <v>184</v>
      </c>
      <c r="C62" s="10" t="s">
        <v>245</v>
      </c>
      <c r="D62" s="10" t="s">
        <v>78</v>
      </c>
      <c r="E62" s="11" t="n">
        <v>3</v>
      </c>
      <c r="F62" s="10" t="s">
        <v>188</v>
      </c>
      <c r="G62" s="11" t="n">
        <v>44</v>
      </c>
      <c r="H62" s="11" t="n">
        <v>58</v>
      </c>
      <c r="I62" s="10" t="n">
        <v>0</v>
      </c>
      <c r="J62" s="10" t="s">
        <v>79</v>
      </c>
      <c r="K62" s="10" t="str">
        <f aca="false">IF(H62&lt;=Parameters!$B$22,"Early",IF(H62&lt;=Parameters!$B$23,"Mid","Late"))</f>
        <v>Late</v>
      </c>
      <c r="L62" s="10" t="n">
        <f aca="false">ROUND(IF(D62="Minor",Parameters!$B$5,Parameters!$B$6)*INDEX(Parameters!$B$11:$B$13,MATCH(E62,Parameters!$A$11:$A$13,0))*Parameters!$B$7,0)</f>
        <v>4</v>
      </c>
      <c r="M62" s="12" t="n">
        <f aca="false">IF(K62="Early",Parameters!$B$16,IF(K62="Mid",Parameters!$B$17,Parameters!$B$18))</f>
        <v>10</v>
      </c>
      <c r="N62" s="13" t="n">
        <f aca="false">L62*(M62+Parameters!$B$19)</f>
        <v>43</v>
      </c>
    </row>
    <row r="63" customFormat="false" ht="15" hidden="false" customHeight="false" outlineLevel="0" collapsed="false">
      <c r="A63" s="9" t="s">
        <v>246</v>
      </c>
      <c r="B63" s="10" t="s">
        <v>115</v>
      </c>
      <c r="C63" s="10" t="s">
        <v>247</v>
      </c>
      <c r="D63" s="10" t="s">
        <v>96</v>
      </c>
      <c r="E63" s="11" t="n">
        <v>3</v>
      </c>
      <c r="F63" s="10" t="s">
        <v>248</v>
      </c>
      <c r="G63" s="11" t="n">
        <v>54</v>
      </c>
      <c r="H63" s="11" t="n">
        <v>59</v>
      </c>
      <c r="I63" s="10" t="n">
        <v>4</v>
      </c>
      <c r="J63" s="10" t="s">
        <v>249</v>
      </c>
      <c r="K63" s="10" t="str">
        <f aca="false">IF(H63&lt;=Parameters!$B$22,"Early",IF(H63&lt;=Parameters!$B$23,"Mid","Late"))</f>
        <v>Late</v>
      </c>
      <c r="L63" s="10" t="n">
        <f aca="false">ROUND(IF(D63="Minor",Parameters!$B$5,Parameters!$B$6)*INDEX(Parameters!$B$11:$B$13,MATCH(E63,Parameters!$A$11:$A$13,0))*Parameters!$B$7,0)</f>
        <v>10</v>
      </c>
      <c r="M63" s="12" t="n">
        <f aca="false">IF(K63="Early",Parameters!$B$16,IF(K63="Mid",Parameters!$B$17,Parameters!$B$18))</f>
        <v>10</v>
      </c>
      <c r="N63" s="13" t="n">
        <f aca="false">L63*(M63+Parameters!$B$19)</f>
        <v>107.5</v>
      </c>
    </row>
    <row r="64" customFormat="false" ht="15" hidden="false" customHeight="false" outlineLevel="0" collapsed="false">
      <c r="A64" s="9" t="s">
        <v>250</v>
      </c>
      <c r="B64" s="10" t="s">
        <v>91</v>
      </c>
      <c r="C64" s="10" t="s">
        <v>251</v>
      </c>
      <c r="D64" s="10" t="s">
        <v>96</v>
      </c>
      <c r="E64" s="11" t="n">
        <v>3</v>
      </c>
      <c r="F64" s="10" t="s">
        <v>224</v>
      </c>
      <c r="G64" s="11" t="n">
        <v>54</v>
      </c>
      <c r="H64" s="11" t="n">
        <v>60</v>
      </c>
      <c r="I64" s="10" t="n">
        <v>3</v>
      </c>
      <c r="J64" s="10" t="s">
        <v>252</v>
      </c>
      <c r="K64" s="10" t="str">
        <f aca="false">IF(H64&lt;=Parameters!$B$22,"Early",IF(H64&lt;=Parameters!$B$23,"Mid","Late"))</f>
        <v>Late</v>
      </c>
      <c r="L64" s="10" t="n">
        <f aca="false">ROUND(IF(D64="Minor",Parameters!$B$5,Parameters!$B$6)*INDEX(Parameters!$B$11:$B$13,MATCH(E64,Parameters!$A$11:$A$13,0))*Parameters!$B$7,0)</f>
        <v>10</v>
      </c>
      <c r="M64" s="12" t="n">
        <f aca="false">IF(K64="Early",Parameters!$B$16,IF(K64="Mid",Parameters!$B$17,Parameters!$B$18))</f>
        <v>10</v>
      </c>
      <c r="N64" s="13" t="n">
        <f aca="false">L64*(M64+Parameters!$B$19)</f>
        <v>107.5</v>
      </c>
    </row>
    <row r="65" customFormat="false" ht="15" hidden="false" customHeight="false" outlineLevel="0" collapsed="false">
      <c r="A65" s="9" t="s">
        <v>253</v>
      </c>
      <c r="B65" s="10" t="s">
        <v>169</v>
      </c>
      <c r="C65" s="10" t="s">
        <v>254</v>
      </c>
      <c r="D65" s="10" t="s">
        <v>96</v>
      </c>
      <c r="E65" s="11" t="n">
        <v>3</v>
      </c>
      <c r="F65" s="10" t="s">
        <v>255</v>
      </c>
      <c r="G65" s="11" t="n">
        <v>56</v>
      </c>
      <c r="H65" s="11" t="n">
        <v>61</v>
      </c>
      <c r="I65" s="10" t="n">
        <v>4</v>
      </c>
      <c r="J65" s="10" t="s">
        <v>256</v>
      </c>
      <c r="K65" s="10" t="str">
        <f aca="false">IF(H65&lt;=Parameters!$B$22,"Early",IF(H65&lt;=Parameters!$B$23,"Mid","Late"))</f>
        <v>Late</v>
      </c>
      <c r="L65" s="10" t="n">
        <f aca="false">ROUND(IF(D65="Minor",Parameters!$B$5,Parameters!$B$6)*INDEX(Parameters!$B$11:$B$13,MATCH(E65,Parameters!$A$11:$A$13,0))*Parameters!$B$7,0)</f>
        <v>10</v>
      </c>
      <c r="M65" s="12" t="n">
        <f aca="false">IF(K65="Early",Parameters!$B$16,IF(K65="Mid",Parameters!$B$17,Parameters!$B$18))</f>
        <v>10</v>
      </c>
      <c r="N65" s="13" t="n">
        <f aca="false">L65*(M65+Parameters!$B$19)</f>
        <v>107.5</v>
      </c>
    </row>
    <row r="66" customFormat="false" ht="15" hidden="false" customHeight="false" outlineLevel="0" collapsed="false">
      <c r="A66" s="9" t="s">
        <v>257</v>
      </c>
      <c r="B66" s="10" t="s">
        <v>184</v>
      </c>
      <c r="C66" s="10" t="s">
        <v>258</v>
      </c>
      <c r="D66" s="10" t="s">
        <v>96</v>
      </c>
      <c r="E66" s="11" t="n">
        <v>3</v>
      </c>
      <c r="F66" s="10" t="s">
        <v>259</v>
      </c>
      <c r="G66" s="11" t="n">
        <v>62</v>
      </c>
      <c r="H66" s="11" t="n">
        <v>62</v>
      </c>
      <c r="I66" s="10" t="n">
        <v>5</v>
      </c>
      <c r="J66" s="10" t="s">
        <v>260</v>
      </c>
      <c r="K66" s="10" t="str">
        <f aca="false">IF(H66&lt;=Parameters!$B$22,"Early",IF(H66&lt;=Parameters!$B$23,"Mid","Late"))</f>
        <v>Late</v>
      </c>
      <c r="L66" s="10" t="n">
        <f aca="false">ROUND(IF(D66="Minor",Parameters!$B$5,Parameters!$B$6)*INDEX(Parameters!$B$11:$B$13,MATCH(E66,Parameters!$A$11:$A$13,0))*Parameters!$B$7,0)</f>
        <v>10</v>
      </c>
      <c r="M66" s="12" t="n">
        <f aca="false">IF(K66="Early",Parameters!$B$16,IF(K66="Mid",Parameters!$B$17,Parameters!$B$18))</f>
        <v>10</v>
      </c>
      <c r="N66" s="13" t="n">
        <f aca="false">L66*(M66+Parameters!$B$19)</f>
        <v>107.5</v>
      </c>
    </row>
    <row r="67" customFormat="false" ht="15" hidden="false" customHeight="false" outlineLevel="0" collapsed="false">
      <c r="A67" s="9" t="s">
        <v>261</v>
      </c>
      <c r="B67" s="10" t="s">
        <v>184</v>
      </c>
      <c r="C67" s="10" t="s">
        <v>262</v>
      </c>
      <c r="D67" s="10" t="s">
        <v>96</v>
      </c>
      <c r="E67" s="11" t="n">
        <v>3</v>
      </c>
      <c r="F67" s="10" t="s">
        <v>257</v>
      </c>
      <c r="G67" s="11" t="n">
        <v>63</v>
      </c>
      <c r="H67" s="11" t="n">
        <v>63</v>
      </c>
      <c r="I67" s="10" t="n">
        <v>0</v>
      </c>
      <c r="J67" s="10" t="s">
        <v>263</v>
      </c>
      <c r="K67" s="10" t="str">
        <f aca="false">IF(H67&lt;=Parameters!$B$22,"Early",IF(H67&lt;=Parameters!$B$23,"Mid","Late"))</f>
        <v>Late</v>
      </c>
      <c r="L67" s="10" t="n">
        <f aca="false">ROUND(IF(D67="Minor",Parameters!$B$5,Parameters!$B$6)*INDEX(Parameters!$B$11:$B$13,MATCH(E67,Parameters!$A$11:$A$13,0))*Parameters!$B$7,0)</f>
        <v>10</v>
      </c>
      <c r="M67" s="12" t="n">
        <f aca="false">IF(K67="Early",Parameters!$B$16,IF(K67="Mid",Parameters!$B$17,Parameters!$B$18))</f>
        <v>10</v>
      </c>
      <c r="N67" s="13" t="n">
        <f aca="false">L67*(M67+Parameters!$B$19)</f>
        <v>107.5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8" min="8" style="0" width="20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4" customFormat="false" ht="26.85" hidden="false" customHeight="false" outlineLevel="0" collapsed="false">
      <c r="A4" s="8" t="s">
        <v>266</v>
      </c>
      <c r="B4" s="8" t="s">
        <v>267</v>
      </c>
      <c r="C4" s="8" t="s">
        <v>268</v>
      </c>
      <c r="D4" s="8" t="s">
        <v>269</v>
      </c>
      <c r="E4" s="8" t="s">
        <v>270</v>
      </c>
      <c r="F4" s="8" t="s">
        <v>271</v>
      </c>
      <c r="H4" s="4" t="s">
        <v>272</v>
      </c>
      <c r="I4" s="3" t="n">
        <f aca="false">COUNTA(A5:A101)</f>
        <v>97</v>
      </c>
    </row>
    <row r="5" customFormat="false" ht="15" hidden="false" customHeight="false" outlineLevel="0" collapsed="false">
      <c r="A5" s="10" t="s">
        <v>75</v>
      </c>
      <c r="B5" s="10" t="s">
        <v>76</v>
      </c>
      <c r="C5" s="10" t="s">
        <v>80</v>
      </c>
      <c r="D5" s="10" t="s">
        <v>76</v>
      </c>
      <c r="E5" s="10" t="str">
        <f aca="false">IF(B5=D5,"","CROSS-REALM")</f>
        <v/>
      </c>
      <c r="F5" s="10" t="n">
        <v>1</v>
      </c>
      <c r="H5" s="4" t="s">
        <v>273</v>
      </c>
      <c r="I5" s="3" t="n">
        <f aca="false">COUNTIF(E5:E101,"CROSS-REALM")</f>
        <v>39</v>
      </c>
    </row>
    <row r="6" customFormat="false" ht="15" hidden="false" customHeight="false" outlineLevel="0" collapsed="false">
      <c r="A6" s="10" t="s">
        <v>75</v>
      </c>
      <c r="B6" s="10" t="s">
        <v>76</v>
      </c>
      <c r="C6" s="10" t="s">
        <v>86</v>
      </c>
      <c r="D6" s="10" t="s">
        <v>76</v>
      </c>
      <c r="E6" s="10" t="str">
        <f aca="false">IF(B6=D6,"","CROSS-REALM")</f>
        <v/>
      </c>
      <c r="F6" s="10" t="n">
        <v>1</v>
      </c>
      <c r="H6" s="4" t="s">
        <v>274</v>
      </c>
      <c r="I6" s="14" t="n">
        <f aca="false">IFERROR(I5/I4,0)</f>
        <v>0.402061855670103</v>
      </c>
    </row>
    <row r="7" customFormat="false" ht="15" hidden="false" customHeight="false" outlineLevel="0" collapsed="false">
      <c r="A7" s="10" t="s">
        <v>80</v>
      </c>
      <c r="B7" s="10" t="s">
        <v>76</v>
      </c>
      <c r="C7" s="10" t="s">
        <v>88</v>
      </c>
      <c r="D7" s="10" t="s">
        <v>76</v>
      </c>
      <c r="E7" s="10" t="str">
        <f aca="false">IF(B7=D7,"","CROSS-REALM")</f>
        <v/>
      </c>
      <c r="F7" s="10" t="n">
        <v>1</v>
      </c>
    </row>
    <row r="8" customFormat="false" ht="15" hidden="false" customHeight="false" outlineLevel="0" collapsed="false">
      <c r="A8" s="10" t="s">
        <v>80</v>
      </c>
      <c r="B8" s="10" t="s">
        <v>76</v>
      </c>
      <c r="C8" s="10" t="s">
        <v>94</v>
      </c>
      <c r="D8" s="10" t="s">
        <v>76</v>
      </c>
      <c r="E8" s="10" t="str">
        <f aca="false">IF(B8=D8,"","CROSS-REALM")</f>
        <v/>
      </c>
      <c r="F8" s="10" t="n">
        <v>1</v>
      </c>
    </row>
    <row r="9" customFormat="false" ht="15" hidden="false" customHeight="false" outlineLevel="0" collapsed="false">
      <c r="A9" s="10" t="s">
        <v>86</v>
      </c>
      <c r="B9" s="10" t="s">
        <v>76</v>
      </c>
      <c r="C9" s="10" t="s">
        <v>94</v>
      </c>
      <c r="D9" s="10" t="s">
        <v>76</v>
      </c>
      <c r="E9" s="10" t="str">
        <f aca="false">IF(B9=D9,"","CROSS-REALM")</f>
        <v/>
      </c>
      <c r="F9" s="10" t="n">
        <v>1</v>
      </c>
    </row>
    <row r="10" customFormat="false" ht="15" hidden="false" customHeight="false" outlineLevel="0" collapsed="false">
      <c r="A10" s="10" t="s">
        <v>86</v>
      </c>
      <c r="B10" s="10" t="s">
        <v>76</v>
      </c>
      <c r="C10" s="10" t="s">
        <v>99</v>
      </c>
      <c r="D10" s="10" t="s">
        <v>100</v>
      </c>
      <c r="E10" s="10" t="str">
        <f aca="false">IF(B10=D10,"","CROSS-REALM")</f>
        <v>CROSS-REALM</v>
      </c>
      <c r="F10" s="10" t="n">
        <v>1</v>
      </c>
    </row>
    <row r="11" customFormat="false" ht="15" hidden="false" customHeight="false" outlineLevel="0" collapsed="false">
      <c r="A11" s="10" t="s">
        <v>99</v>
      </c>
      <c r="B11" s="10" t="s">
        <v>100</v>
      </c>
      <c r="C11" s="10" t="s">
        <v>102</v>
      </c>
      <c r="D11" s="10" t="s">
        <v>100</v>
      </c>
      <c r="E11" s="10" t="str">
        <f aca="false">IF(B11=D11,"","CROSS-REALM")</f>
        <v/>
      </c>
      <c r="F11" s="10" t="n">
        <v>1</v>
      </c>
    </row>
    <row r="12" customFormat="false" ht="15" hidden="false" customHeight="false" outlineLevel="0" collapsed="false">
      <c r="A12" s="10" t="s">
        <v>99</v>
      </c>
      <c r="B12" s="10" t="s">
        <v>100</v>
      </c>
      <c r="C12" s="10" t="s">
        <v>104</v>
      </c>
      <c r="D12" s="10" t="s">
        <v>100</v>
      </c>
      <c r="E12" s="10" t="str">
        <f aca="false">IF(B12=D12,"","CROSS-REALM")</f>
        <v/>
      </c>
      <c r="F12" s="10" t="n">
        <v>1</v>
      </c>
    </row>
    <row r="13" customFormat="false" ht="15" hidden="false" customHeight="false" outlineLevel="0" collapsed="false">
      <c r="A13" s="10" t="s">
        <v>94</v>
      </c>
      <c r="B13" s="10" t="s">
        <v>76</v>
      </c>
      <c r="C13" s="10" t="s">
        <v>106</v>
      </c>
      <c r="D13" s="10" t="s">
        <v>76</v>
      </c>
      <c r="E13" s="10" t="str">
        <f aca="false">IF(B13=D13,"","CROSS-REALM")</f>
        <v/>
      </c>
      <c r="F13" s="10" t="n">
        <v>2</v>
      </c>
    </row>
    <row r="14" customFormat="false" ht="15" hidden="false" customHeight="false" outlineLevel="0" collapsed="false">
      <c r="A14" s="10" t="s">
        <v>102</v>
      </c>
      <c r="B14" s="10" t="s">
        <v>100</v>
      </c>
      <c r="C14" s="10" t="s">
        <v>108</v>
      </c>
      <c r="D14" s="10" t="s">
        <v>100</v>
      </c>
      <c r="E14" s="10" t="str">
        <f aca="false">IF(B14=D14,"","CROSS-REALM")</f>
        <v/>
      </c>
      <c r="F14" s="10" t="n">
        <v>1</v>
      </c>
    </row>
    <row r="15" customFormat="false" ht="15" hidden="false" customHeight="false" outlineLevel="0" collapsed="false">
      <c r="A15" s="10" t="s">
        <v>102</v>
      </c>
      <c r="B15" s="10" t="s">
        <v>100</v>
      </c>
      <c r="C15" s="10" t="s">
        <v>110</v>
      </c>
      <c r="D15" s="10" t="s">
        <v>100</v>
      </c>
      <c r="E15" s="10" t="str">
        <f aca="false">IF(B15=D15,"","CROSS-REALM")</f>
        <v/>
      </c>
      <c r="F15" s="10" t="n">
        <v>1</v>
      </c>
    </row>
    <row r="16" customFormat="false" ht="15" hidden="false" customHeight="false" outlineLevel="0" collapsed="false">
      <c r="A16" s="10" t="s">
        <v>104</v>
      </c>
      <c r="B16" s="10" t="s">
        <v>100</v>
      </c>
      <c r="C16" s="10" t="s">
        <v>110</v>
      </c>
      <c r="D16" s="10" t="s">
        <v>100</v>
      </c>
      <c r="E16" s="10" t="str">
        <f aca="false">IF(B16=D16,"","CROSS-REALM")</f>
        <v/>
      </c>
      <c r="F16" s="10" t="n">
        <v>1</v>
      </c>
    </row>
    <row r="17" customFormat="false" ht="15" hidden="false" customHeight="false" outlineLevel="0" collapsed="false">
      <c r="A17" s="10" t="s">
        <v>94</v>
      </c>
      <c r="B17" s="10" t="s">
        <v>76</v>
      </c>
      <c r="C17" s="10" t="s">
        <v>110</v>
      </c>
      <c r="D17" s="10" t="s">
        <v>100</v>
      </c>
      <c r="E17" s="10" t="str">
        <f aca="false">IF(B17=D17,"","CROSS-REALM")</f>
        <v>CROSS-REALM</v>
      </c>
      <c r="F17" s="10" t="n">
        <v>1</v>
      </c>
    </row>
    <row r="18" customFormat="false" ht="15" hidden="false" customHeight="false" outlineLevel="0" collapsed="false">
      <c r="A18" s="10" t="s">
        <v>104</v>
      </c>
      <c r="B18" s="10" t="s">
        <v>100</v>
      </c>
      <c r="C18" s="10" t="s">
        <v>114</v>
      </c>
      <c r="D18" s="10" t="s">
        <v>115</v>
      </c>
      <c r="E18" s="10" t="str">
        <f aca="false">IF(B18=D18,"","CROSS-REALM")</f>
        <v>CROSS-REALM</v>
      </c>
      <c r="F18" s="10" t="n">
        <v>1</v>
      </c>
    </row>
    <row r="19" customFormat="false" ht="15" hidden="false" customHeight="false" outlineLevel="0" collapsed="false">
      <c r="A19" s="10" t="s">
        <v>114</v>
      </c>
      <c r="B19" s="10" t="s">
        <v>115</v>
      </c>
      <c r="C19" s="10" t="s">
        <v>117</v>
      </c>
      <c r="D19" s="10" t="s">
        <v>115</v>
      </c>
      <c r="E19" s="10" t="str">
        <f aca="false">IF(B19=D19,"","CROSS-REALM")</f>
        <v/>
      </c>
      <c r="F19" s="10" t="n">
        <v>1</v>
      </c>
    </row>
    <row r="20" customFormat="false" ht="15" hidden="false" customHeight="false" outlineLevel="0" collapsed="false">
      <c r="A20" s="10" t="s">
        <v>110</v>
      </c>
      <c r="B20" s="10" t="s">
        <v>100</v>
      </c>
      <c r="C20" s="10" t="s">
        <v>119</v>
      </c>
      <c r="D20" s="10" t="s">
        <v>100</v>
      </c>
      <c r="E20" s="10" t="str">
        <f aca="false">IF(B20=D20,"","CROSS-REALM")</f>
        <v/>
      </c>
      <c r="F20" s="10" t="n">
        <v>2</v>
      </c>
    </row>
    <row r="21" customFormat="false" ht="15" hidden="false" customHeight="false" outlineLevel="0" collapsed="false">
      <c r="A21" s="10" t="s">
        <v>114</v>
      </c>
      <c r="B21" s="10" t="s">
        <v>115</v>
      </c>
      <c r="C21" s="10" t="s">
        <v>121</v>
      </c>
      <c r="D21" s="10" t="s">
        <v>115</v>
      </c>
      <c r="E21" s="10" t="str">
        <f aca="false">IF(B21=D21,"","CROSS-REALM")</f>
        <v/>
      </c>
      <c r="F21" s="10" t="n">
        <v>1</v>
      </c>
    </row>
    <row r="22" customFormat="false" ht="15" hidden="false" customHeight="false" outlineLevel="0" collapsed="false">
      <c r="A22" s="10" t="s">
        <v>117</v>
      </c>
      <c r="B22" s="10" t="s">
        <v>115</v>
      </c>
      <c r="C22" s="10" t="s">
        <v>123</v>
      </c>
      <c r="D22" s="10" t="s">
        <v>115</v>
      </c>
      <c r="E22" s="10" t="str">
        <f aca="false">IF(B22=D22,"","CROSS-REALM")</f>
        <v/>
      </c>
      <c r="F22" s="10" t="n">
        <v>1</v>
      </c>
    </row>
    <row r="23" customFormat="false" ht="15" hidden="false" customHeight="false" outlineLevel="0" collapsed="false">
      <c r="A23" s="10" t="s">
        <v>117</v>
      </c>
      <c r="B23" s="10" t="s">
        <v>115</v>
      </c>
      <c r="C23" s="10" t="s">
        <v>125</v>
      </c>
      <c r="D23" s="10" t="s">
        <v>115</v>
      </c>
      <c r="E23" s="10" t="str">
        <f aca="false">IF(B23=D23,"","CROSS-REALM")</f>
        <v/>
      </c>
      <c r="F23" s="10" t="n">
        <v>1</v>
      </c>
    </row>
    <row r="24" customFormat="false" ht="15" hidden="false" customHeight="false" outlineLevel="0" collapsed="false">
      <c r="A24" s="10" t="s">
        <v>121</v>
      </c>
      <c r="B24" s="10" t="s">
        <v>115</v>
      </c>
      <c r="C24" s="10" t="s">
        <v>125</v>
      </c>
      <c r="D24" s="10" t="s">
        <v>115</v>
      </c>
      <c r="E24" s="10" t="str">
        <f aca="false">IF(B24=D24,"","CROSS-REALM")</f>
        <v/>
      </c>
      <c r="F24" s="10" t="n">
        <v>1</v>
      </c>
    </row>
    <row r="25" customFormat="false" ht="15" hidden="false" customHeight="false" outlineLevel="0" collapsed="false">
      <c r="A25" s="10" t="s">
        <v>110</v>
      </c>
      <c r="B25" s="10" t="s">
        <v>100</v>
      </c>
      <c r="C25" s="10" t="s">
        <v>125</v>
      </c>
      <c r="D25" s="10" t="s">
        <v>115</v>
      </c>
      <c r="E25" s="10" t="str">
        <f aca="false">IF(B25=D25,"","CROSS-REALM")</f>
        <v>CROSS-REALM</v>
      </c>
      <c r="F25" s="10" t="n">
        <v>1</v>
      </c>
    </row>
    <row r="26" customFormat="false" ht="15" hidden="false" customHeight="false" outlineLevel="0" collapsed="false">
      <c r="A26" s="10" t="s">
        <v>125</v>
      </c>
      <c r="B26" s="10" t="s">
        <v>115</v>
      </c>
      <c r="C26" s="10" t="s">
        <v>129</v>
      </c>
      <c r="D26" s="10" t="s">
        <v>91</v>
      </c>
      <c r="E26" s="10" t="str">
        <f aca="false">IF(B26=D26,"","CROSS-REALM")</f>
        <v>CROSS-REALM</v>
      </c>
      <c r="F26" s="10" t="n">
        <v>1</v>
      </c>
    </row>
    <row r="27" customFormat="false" ht="15" hidden="false" customHeight="false" outlineLevel="0" collapsed="false">
      <c r="A27" s="10" t="s">
        <v>121</v>
      </c>
      <c r="B27" s="10" t="s">
        <v>115</v>
      </c>
      <c r="C27" s="10" t="s">
        <v>132</v>
      </c>
      <c r="D27" s="10" t="s">
        <v>133</v>
      </c>
      <c r="E27" s="10" t="str">
        <f aca="false">IF(B27=D27,"","CROSS-REALM")</f>
        <v>CROSS-REALM</v>
      </c>
      <c r="F27" s="10" t="n">
        <v>1</v>
      </c>
    </row>
    <row r="28" customFormat="false" ht="15" hidden="false" customHeight="false" outlineLevel="0" collapsed="false">
      <c r="A28" s="10" t="s">
        <v>132</v>
      </c>
      <c r="B28" s="10" t="s">
        <v>133</v>
      </c>
      <c r="C28" s="10" t="s">
        <v>135</v>
      </c>
      <c r="D28" s="10" t="s">
        <v>133</v>
      </c>
      <c r="E28" s="10" t="str">
        <f aca="false">IF(B28=D28,"","CROSS-REALM")</f>
        <v/>
      </c>
      <c r="F28" s="10" t="n">
        <v>1</v>
      </c>
    </row>
    <row r="29" customFormat="false" ht="15" hidden="false" customHeight="false" outlineLevel="0" collapsed="false">
      <c r="A29" s="10" t="s">
        <v>125</v>
      </c>
      <c r="B29" s="10" t="s">
        <v>115</v>
      </c>
      <c r="C29" s="10" t="s">
        <v>137</v>
      </c>
      <c r="D29" s="10" t="s">
        <v>115</v>
      </c>
      <c r="E29" s="10" t="str">
        <f aca="false">IF(B29=D29,"","CROSS-REALM")</f>
        <v/>
      </c>
      <c r="F29" s="10" t="n">
        <v>2</v>
      </c>
    </row>
    <row r="30" customFormat="false" ht="15" hidden="false" customHeight="false" outlineLevel="0" collapsed="false">
      <c r="A30" s="10" t="s">
        <v>132</v>
      </c>
      <c r="B30" s="10" t="s">
        <v>133</v>
      </c>
      <c r="C30" s="10" t="s">
        <v>139</v>
      </c>
      <c r="D30" s="10" t="s">
        <v>133</v>
      </c>
      <c r="E30" s="10" t="str">
        <f aca="false">IF(B30=D30,"","CROSS-REALM")</f>
        <v/>
      </c>
      <c r="F30" s="10" t="n">
        <v>1</v>
      </c>
    </row>
    <row r="31" customFormat="false" ht="15" hidden="false" customHeight="false" outlineLevel="0" collapsed="false">
      <c r="A31" s="10" t="s">
        <v>135</v>
      </c>
      <c r="B31" s="10" t="s">
        <v>133</v>
      </c>
      <c r="C31" s="10" t="s">
        <v>141</v>
      </c>
      <c r="D31" s="10" t="s">
        <v>133</v>
      </c>
      <c r="E31" s="10" t="str">
        <f aca="false">IF(B31=D31,"","CROSS-REALM")</f>
        <v/>
      </c>
      <c r="F31" s="10" t="n">
        <v>1</v>
      </c>
    </row>
    <row r="32" customFormat="false" ht="15" hidden="false" customHeight="false" outlineLevel="0" collapsed="false">
      <c r="A32" s="10" t="s">
        <v>135</v>
      </c>
      <c r="B32" s="10" t="s">
        <v>133</v>
      </c>
      <c r="C32" s="10" t="s">
        <v>143</v>
      </c>
      <c r="D32" s="10" t="s">
        <v>133</v>
      </c>
      <c r="E32" s="10" t="str">
        <f aca="false">IF(B32=D32,"","CROSS-REALM")</f>
        <v/>
      </c>
      <c r="F32" s="10" t="n">
        <v>1</v>
      </c>
    </row>
    <row r="33" customFormat="false" ht="15" hidden="false" customHeight="false" outlineLevel="0" collapsed="false">
      <c r="A33" s="10" t="s">
        <v>139</v>
      </c>
      <c r="B33" s="10" t="s">
        <v>133</v>
      </c>
      <c r="C33" s="10" t="s">
        <v>143</v>
      </c>
      <c r="D33" s="10" t="s">
        <v>133</v>
      </c>
      <c r="E33" s="10" t="str">
        <f aca="false">IF(B33=D33,"","CROSS-REALM")</f>
        <v/>
      </c>
      <c r="F33" s="10" t="n">
        <v>1</v>
      </c>
    </row>
    <row r="34" customFormat="false" ht="15" hidden="false" customHeight="false" outlineLevel="0" collapsed="false">
      <c r="A34" s="10" t="s">
        <v>125</v>
      </c>
      <c r="B34" s="10" t="s">
        <v>115</v>
      </c>
      <c r="C34" s="10" t="s">
        <v>143</v>
      </c>
      <c r="D34" s="10" t="s">
        <v>133</v>
      </c>
      <c r="E34" s="10" t="str">
        <f aca="false">IF(B34=D34,"","CROSS-REALM")</f>
        <v>CROSS-REALM</v>
      </c>
      <c r="F34" s="10" t="n">
        <v>1</v>
      </c>
    </row>
    <row r="35" customFormat="false" ht="15" hidden="false" customHeight="false" outlineLevel="0" collapsed="false">
      <c r="A35" s="10" t="s">
        <v>143</v>
      </c>
      <c r="B35" s="10" t="s">
        <v>133</v>
      </c>
      <c r="C35" s="10" t="s">
        <v>147</v>
      </c>
      <c r="D35" s="10" t="s">
        <v>83</v>
      </c>
      <c r="E35" s="10" t="str">
        <f aca="false">IF(B35=D35,"","CROSS-REALM")</f>
        <v>CROSS-REALM</v>
      </c>
      <c r="F35" s="10" t="n">
        <v>1</v>
      </c>
    </row>
    <row r="36" customFormat="false" ht="15" hidden="false" customHeight="false" outlineLevel="0" collapsed="false">
      <c r="A36" s="10" t="s">
        <v>139</v>
      </c>
      <c r="B36" s="10" t="s">
        <v>133</v>
      </c>
      <c r="C36" s="10" t="s">
        <v>150</v>
      </c>
      <c r="D36" s="10" t="s">
        <v>151</v>
      </c>
      <c r="E36" s="10" t="str">
        <f aca="false">IF(B36=D36,"","CROSS-REALM")</f>
        <v>CROSS-REALM</v>
      </c>
      <c r="F36" s="10" t="n">
        <v>1</v>
      </c>
    </row>
    <row r="37" customFormat="false" ht="15" hidden="false" customHeight="false" outlineLevel="0" collapsed="false">
      <c r="A37" s="10" t="s">
        <v>150</v>
      </c>
      <c r="B37" s="10" t="s">
        <v>151</v>
      </c>
      <c r="C37" s="10" t="s">
        <v>153</v>
      </c>
      <c r="D37" s="10" t="s">
        <v>151</v>
      </c>
      <c r="E37" s="10" t="str">
        <f aca="false">IF(B37=D37,"","CROSS-REALM")</f>
        <v/>
      </c>
      <c r="F37" s="10" t="n">
        <v>1</v>
      </c>
    </row>
    <row r="38" customFormat="false" ht="15" hidden="false" customHeight="false" outlineLevel="0" collapsed="false">
      <c r="A38" s="10" t="s">
        <v>143</v>
      </c>
      <c r="B38" s="10" t="s">
        <v>133</v>
      </c>
      <c r="C38" s="10" t="s">
        <v>155</v>
      </c>
      <c r="D38" s="10" t="s">
        <v>133</v>
      </c>
      <c r="E38" s="10" t="str">
        <f aca="false">IF(B38=D38,"","CROSS-REALM")</f>
        <v/>
      </c>
      <c r="F38" s="10" t="n">
        <v>2</v>
      </c>
    </row>
    <row r="39" customFormat="false" ht="15" hidden="false" customHeight="false" outlineLevel="0" collapsed="false">
      <c r="A39" s="10" t="s">
        <v>150</v>
      </c>
      <c r="B39" s="10" t="s">
        <v>151</v>
      </c>
      <c r="C39" s="10" t="s">
        <v>157</v>
      </c>
      <c r="D39" s="10" t="s">
        <v>151</v>
      </c>
      <c r="E39" s="10" t="str">
        <f aca="false">IF(B39=D39,"","CROSS-REALM")</f>
        <v/>
      </c>
      <c r="F39" s="10" t="n">
        <v>1</v>
      </c>
    </row>
    <row r="40" customFormat="false" ht="15" hidden="false" customHeight="false" outlineLevel="0" collapsed="false">
      <c r="A40" s="10" t="s">
        <v>153</v>
      </c>
      <c r="B40" s="10" t="s">
        <v>151</v>
      </c>
      <c r="C40" s="10" t="s">
        <v>159</v>
      </c>
      <c r="D40" s="10" t="s">
        <v>151</v>
      </c>
      <c r="E40" s="10" t="str">
        <f aca="false">IF(B40=D40,"","CROSS-REALM")</f>
        <v/>
      </c>
      <c r="F40" s="10" t="n">
        <v>1</v>
      </c>
    </row>
    <row r="41" customFormat="false" ht="15" hidden="false" customHeight="false" outlineLevel="0" collapsed="false">
      <c r="A41" s="10" t="s">
        <v>153</v>
      </c>
      <c r="B41" s="10" t="s">
        <v>151</v>
      </c>
      <c r="C41" s="10" t="s">
        <v>161</v>
      </c>
      <c r="D41" s="10" t="s">
        <v>151</v>
      </c>
      <c r="E41" s="10" t="str">
        <f aca="false">IF(B41=D41,"","CROSS-REALM")</f>
        <v/>
      </c>
      <c r="F41" s="10" t="n">
        <v>1</v>
      </c>
    </row>
    <row r="42" customFormat="false" ht="15" hidden="false" customHeight="false" outlineLevel="0" collapsed="false">
      <c r="A42" s="10" t="s">
        <v>157</v>
      </c>
      <c r="B42" s="10" t="s">
        <v>151</v>
      </c>
      <c r="C42" s="10" t="s">
        <v>161</v>
      </c>
      <c r="D42" s="10" t="s">
        <v>151</v>
      </c>
      <c r="E42" s="10" t="str">
        <f aca="false">IF(B42=D42,"","CROSS-REALM")</f>
        <v/>
      </c>
      <c r="F42" s="10" t="n">
        <v>1</v>
      </c>
    </row>
    <row r="43" customFormat="false" ht="15" hidden="false" customHeight="false" outlineLevel="0" collapsed="false">
      <c r="A43" s="10" t="s">
        <v>143</v>
      </c>
      <c r="B43" s="10" t="s">
        <v>133</v>
      </c>
      <c r="C43" s="10" t="s">
        <v>161</v>
      </c>
      <c r="D43" s="10" t="s">
        <v>151</v>
      </c>
      <c r="E43" s="10" t="str">
        <f aca="false">IF(B43=D43,"","CROSS-REALM")</f>
        <v>CROSS-REALM</v>
      </c>
      <c r="F43" s="10" t="n">
        <v>1</v>
      </c>
    </row>
    <row r="44" customFormat="false" ht="15" hidden="false" customHeight="false" outlineLevel="0" collapsed="false">
      <c r="A44" s="10" t="s">
        <v>161</v>
      </c>
      <c r="B44" s="10" t="s">
        <v>151</v>
      </c>
      <c r="C44" s="10" t="s">
        <v>165</v>
      </c>
      <c r="D44" s="10" t="s">
        <v>91</v>
      </c>
      <c r="E44" s="10" t="str">
        <f aca="false">IF(B44=D44,"","CROSS-REALM")</f>
        <v>CROSS-REALM</v>
      </c>
      <c r="F44" s="10" t="n">
        <v>2</v>
      </c>
    </row>
    <row r="45" customFormat="false" ht="15" hidden="false" customHeight="false" outlineLevel="0" collapsed="false">
      <c r="A45" s="10" t="s">
        <v>157</v>
      </c>
      <c r="B45" s="10" t="s">
        <v>151</v>
      </c>
      <c r="C45" s="10" t="s">
        <v>168</v>
      </c>
      <c r="D45" s="10" t="s">
        <v>169</v>
      </c>
      <c r="E45" s="10" t="str">
        <f aca="false">IF(B45=D45,"","CROSS-REALM")</f>
        <v>CROSS-REALM</v>
      </c>
      <c r="F45" s="10" t="n">
        <v>1</v>
      </c>
    </row>
    <row r="46" customFormat="false" ht="15" hidden="false" customHeight="false" outlineLevel="0" collapsed="false">
      <c r="A46" s="10" t="s">
        <v>168</v>
      </c>
      <c r="B46" s="10" t="s">
        <v>169</v>
      </c>
      <c r="C46" s="10" t="s">
        <v>171</v>
      </c>
      <c r="D46" s="10" t="s">
        <v>169</v>
      </c>
      <c r="E46" s="10" t="str">
        <f aca="false">IF(B46=D46,"","CROSS-REALM")</f>
        <v/>
      </c>
      <c r="F46" s="10" t="n">
        <v>1</v>
      </c>
    </row>
    <row r="47" customFormat="false" ht="15" hidden="false" customHeight="false" outlineLevel="0" collapsed="false">
      <c r="A47" s="10" t="s">
        <v>161</v>
      </c>
      <c r="B47" s="10" t="s">
        <v>151</v>
      </c>
      <c r="C47" s="10" t="s">
        <v>173</v>
      </c>
      <c r="D47" s="10" t="s">
        <v>151</v>
      </c>
      <c r="E47" s="10" t="str">
        <f aca="false">IF(B47=D47,"","CROSS-REALM")</f>
        <v/>
      </c>
      <c r="F47" s="10" t="n">
        <v>2</v>
      </c>
    </row>
    <row r="48" customFormat="false" ht="15" hidden="false" customHeight="false" outlineLevel="0" collapsed="false">
      <c r="A48" s="10" t="s">
        <v>168</v>
      </c>
      <c r="B48" s="10" t="s">
        <v>169</v>
      </c>
      <c r="C48" s="10" t="s">
        <v>175</v>
      </c>
      <c r="D48" s="10" t="s">
        <v>169</v>
      </c>
      <c r="E48" s="10" t="str">
        <f aca="false">IF(B48=D48,"","CROSS-REALM")</f>
        <v/>
      </c>
      <c r="F48" s="10" t="n">
        <v>1</v>
      </c>
    </row>
    <row r="49" customFormat="false" ht="15" hidden="false" customHeight="false" outlineLevel="0" collapsed="false">
      <c r="A49" s="10" t="s">
        <v>171</v>
      </c>
      <c r="B49" s="10" t="s">
        <v>169</v>
      </c>
      <c r="C49" s="10" t="s">
        <v>177</v>
      </c>
      <c r="D49" s="10" t="s">
        <v>169</v>
      </c>
      <c r="E49" s="10" t="str">
        <f aca="false">IF(B49=D49,"","CROSS-REALM")</f>
        <v/>
      </c>
      <c r="F49" s="10" t="n">
        <v>1</v>
      </c>
    </row>
    <row r="50" customFormat="false" ht="15" hidden="false" customHeight="false" outlineLevel="0" collapsed="false">
      <c r="A50" s="10" t="s">
        <v>171</v>
      </c>
      <c r="B50" s="10" t="s">
        <v>169</v>
      </c>
      <c r="C50" s="10" t="s">
        <v>179</v>
      </c>
      <c r="D50" s="10" t="s">
        <v>169</v>
      </c>
      <c r="E50" s="10" t="str">
        <f aca="false">IF(B50=D50,"","CROSS-REALM")</f>
        <v/>
      </c>
      <c r="F50" s="10" t="n">
        <v>1</v>
      </c>
    </row>
    <row r="51" customFormat="false" ht="15" hidden="false" customHeight="false" outlineLevel="0" collapsed="false">
      <c r="A51" s="10" t="s">
        <v>175</v>
      </c>
      <c r="B51" s="10" t="s">
        <v>169</v>
      </c>
      <c r="C51" s="10" t="s">
        <v>179</v>
      </c>
      <c r="D51" s="10" t="s">
        <v>169</v>
      </c>
      <c r="E51" s="10" t="str">
        <f aca="false">IF(B51=D51,"","CROSS-REALM")</f>
        <v/>
      </c>
      <c r="F51" s="10" t="n">
        <v>1</v>
      </c>
    </row>
    <row r="52" customFormat="false" ht="15" hidden="false" customHeight="false" outlineLevel="0" collapsed="false">
      <c r="A52" s="10" t="s">
        <v>161</v>
      </c>
      <c r="B52" s="10" t="s">
        <v>151</v>
      </c>
      <c r="C52" s="10" t="s">
        <v>179</v>
      </c>
      <c r="D52" s="10" t="s">
        <v>169</v>
      </c>
      <c r="E52" s="10" t="str">
        <f aca="false">IF(B52=D52,"","CROSS-REALM")</f>
        <v>CROSS-REALM</v>
      </c>
      <c r="F52" s="10" t="n">
        <v>1</v>
      </c>
    </row>
    <row r="53" customFormat="false" ht="15" hidden="false" customHeight="false" outlineLevel="0" collapsed="false">
      <c r="A53" s="10" t="s">
        <v>179</v>
      </c>
      <c r="B53" s="10" t="s">
        <v>169</v>
      </c>
      <c r="C53" s="10" t="s">
        <v>183</v>
      </c>
      <c r="D53" s="10" t="s">
        <v>184</v>
      </c>
      <c r="E53" s="10" t="str">
        <f aca="false">IF(B53=D53,"","CROSS-REALM")</f>
        <v>CROSS-REALM</v>
      </c>
      <c r="F53" s="10" t="n">
        <v>2</v>
      </c>
    </row>
    <row r="54" customFormat="false" ht="15" hidden="false" customHeight="false" outlineLevel="0" collapsed="false">
      <c r="A54" s="10" t="s">
        <v>179</v>
      </c>
      <c r="B54" s="10" t="s">
        <v>169</v>
      </c>
      <c r="C54" s="10" t="s">
        <v>186</v>
      </c>
      <c r="D54" s="10" t="s">
        <v>169</v>
      </c>
      <c r="E54" s="10" t="str">
        <f aca="false">IF(B54=D54,"","CROSS-REALM")</f>
        <v/>
      </c>
      <c r="F54" s="10" t="n">
        <v>2</v>
      </c>
    </row>
    <row r="55" customFormat="false" ht="15" hidden="false" customHeight="false" outlineLevel="0" collapsed="false">
      <c r="A55" s="10" t="s">
        <v>183</v>
      </c>
      <c r="B55" s="10" t="s">
        <v>184</v>
      </c>
      <c r="C55" s="10" t="s">
        <v>188</v>
      </c>
      <c r="D55" s="10" t="s">
        <v>184</v>
      </c>
      <c r="E55" s="10" t="str">
        <f aca="false">IF(B55=D55,"","CROSS-REALM")</f>
        <v/>
      </c>
      <c r="F55" s="10" t="n">
        <v>2</v>
      </c>
    </row>
    <row r="56" customFormat="false" ht="15" hidden="false" customHeight="false" outlineLevel="0" collapsed="false">
      <c r="A56" s="10" t="s">
        <v>183</v>
      </c>
      <c r="B56" s="10" t="s">
        <v>184</v>
      </c>
      <c r="C56" s="10" t="s">
        <v>190</v>
      </c>
      <c r="D56" s="10" t="s">
        <v>184</v>
      </c>
      <c r="E56" s="10" t="str">
        <f aca="false">IF(B56=D56,"","CROSS-REALM")</f>
        <v/>
      </c>
      <c r="F56" s="10" t="n">
        <v>2</v>
      </c>
    </row>
    <row r="57" customFormat="false" ht="15" hidden="false" customHeight="false" outlineLevel="0" collapsed="false">
      <c r="A57" s="10" t="s">
        <v>94</v>
      </c>
      <c r="B57" s="10" t="s">
        <v>76</v>
      </c>
      <c r="C57" s="10" t="s">
        <v>192</v>
      </c>
      <c r="D57" s="10" t="s">
        <v>76</v>
      </c>
      <c r="E57" s="10" t="str">
        <f aca="false">IF(B57=D57,"","CROSS-REALM")</f>
        <v/>
      </c>
      <c r="F57" s="10" t="n">
        <v>2</v>
      </c>
    </row>
    <row r="58" customFormat="false" ht="15" hidden="false" customHeight="false" outlineLevel="0" collapsed="false">
      <c r="A58" s="10" t="s">
        <v>110</v>
      </c>
      <c r="B58" s="10" t="s">
        <v>100</v>
      </c>
      <c r="C58" s="10" t="s">
        <v>192</v>
      </c>
      <c r="D58" s="10" t="s">
        <v>76</v>
      </c>
      <c r="E58" s="10" t="str">
        <f aca="false">IF(B58=D58,"","CROSS-REALM")</f>
        <v>CROSS-REALM</v>
      </c>
      <c r="F58" s="10" t="n">
        <v>2</v>
      </c>
    </row>
    <row r="59" customFormat="false" ht="15" hidden="false" customHeight="false" outlineLevel="0" collapsed="false">
      <c r="A59" s="10" t="s">
        <v>192</v>
      </c>
      <c r="B59" s="10" t="s">
        <v>76</v>
      </c>
      <c r="C59" s="10" t="s">
        <v>196</v>
      </c>
      <c r="D59" s="10" t="s">
        <v>83</v>
      </c>
      <c r="E59" s="10" t="str">
        <f aca="false">IF(B59=D59,"","CROSS-REALM")</f>
        <v>CROSS-REALM</v>
      </c>
      <c r="F59" s="10" t="n">
        <v>2</v>
      </c>
    </row>
    <row r="60" customFormat="false" ht="15" hidden="false" customHeight="false" outlineLevel="0" collapsed="false">
      <c r="A60" s="10" t="s">
        <v>147</v>
      </c>
      <c r="B60" s="10" t="s">
        <v>83</v>
      </c>
      <c r="C60" s="10" t="s">
        <v>196</v>
      </c>
      <c r="D60" s="10" t="s">
        <v>83</v>
      </c>
      <c r="E60" s="10" t="str">
        <f aca="false">IF(B60=D60,"","CROSS-REALM")</f>
        <v/>
      </c>
      <c r="F60" s="10" t="n">
        <v>2</v>
      </c>
    </row>
    <row r="61" customFormat="false" ht="15" hidden="false" customHeight="false" outlineLevel="0" collapsed="false">
      <c r="A61" s="10" t="s">
        <v>110</v>
      </c>
      <c r="B61" s="10" t="s">
        <v>100</v>
      </c>
      <c r="C61" s="10" t="s">
        <v>200</v>
      </c>
      <c r="D61" s="10" t="s">
        <v>100</v>
      </c>
      <c r="E61" s="10" t="str">
        <f aca="false">IF(B61=D61,"","CROSS-REALM")</f>
        <v/>
      </c>
      <c r="F61" s="10" t="n">
        <v>2</v>
      </c>
    </row>
    <row r="62" customFormat="false" ht="15" hidden="false" customHeight="false" outlineLevel="0" collapsed="false">
      <c r="A62" s="10" t="s">
        <v>192</v>
      </c>
      <c r="B62" s="10" t="s">
        <v>76</v>
      </c>
      <c r="C62" s="10" t="s">
        <v>200</v>
      </c>
      <c r="D62" s="10" t="s">
        <v>100</v>
      </c>
      <c r="E62" s="10" t="str">
        <f aca="false">IF(B62=D62,"","CROSS-REALM")</f>
        <v>CROSS-REALM</v>
      </c>
      <c r="F62" s="10" t="n">
        <v>2</v>
      </c>
    </row>
    <row r="63" customFormat="false" ht="15" hidden="false" customHeight="false" outlineLevel="0" collapsed="false">
      <c r="A63" s="10" t="s">
        <v>125</v>
      </c>
      <c r="B63" s="10" t="s">
        <v>115</v>
      </c>
      <c r="C63" s="10" t="s">
        <v>204</v>
      </c>
      <c r="D63" s="10" t="s">
        <v>115</v>
      </c>
      <c r="E63" s="10" t="str">
        <f aca="false">IF(B63=D63,"","CROSS-REALM")</f>
        <v/>
      </c>
      <c r="F63" s="10" t="n">
        <v>2</v>
      </c>
    </row>
    <row r="64" customFormat="false" ht="15" hidden="false" customHeight="false" outlineLevel="0" collapsed="false">
      <c r="A64" s="10" t="s">
        <v>143</v>
      </c>
      <c r="B64" s="10" t="s">
        <v>133</v>
      </c>
      <c r="C64" s="10" t="s">
        <v>204</v>
      </c>
      <c r="D64" s="10" t="s">
        <v>115</v>
      </c>
      <c r="E64" s="10" t="str">
        <f aca="false">IF(B64=D64,"","CROSS-REALM")</f>
        <v>CROSS-REALM</v>
      </c>
      <c r="F64" s="10" t="n">
        <v>2</v>
      </c>
    </row>
    <row r="65" customFormat="false" ht="15" hidden="false" customHeight="false" outlineLevel="0" collapsed="false">
      <c r="A65" s="10" t="s">
        <v>143</v>
      </c>
      <c r="B65" s="10" t="s">
        <v>133</v>
      </c>
      <c r="C65" s="10" t="s">
        <v>208</v>
      </c>
      <c r="D65" s="10" t="s">
        <v>133</v>
      </c>
      <c r="E65" s="10" t="str">
        <f aca="false">IF(B65=D65,"","CROSS-REALM")</f>
        <v/>
      </c>
      <c r="F65" s="10" t="n">
        <v>2</v>
      </c>
    </row>
    <row r="66" customFormat="false" ht="15" hidden="false" customHeight="false" outlineLevel="0" collapsed="false">
      <c r="A66" s="10" t="s">
        <v>200</v>
      </c>
      <c r="B66" s="10" t="s">
        <v>100</v>
      </c>
      <c r="C66" s="10" t="s">
        <v>208</v>
      </c>
      <c r="D66" s="10" t="s">
        <v>133</v>
      </c>
      <c r="E66" s="10" t="str">
        <f aca="false">IF(B66=D66,"","CROSS-REALM")</f>
        <v>CROSS-REALM</v>
      </c>
      <c r="F66" s="10" t="n">
        <v>2</v>
      </c>
    </row>
    <row r="67" customFormat="false" ht="15" hidden="false" customHeight="false" outlineLevel="0" collapsed="false">
      <c r="A67" s="10" t="s">
        <v>161</v>
      </c>
      <c r="B67" s="10" t="s">
        <v>151</v>
      </c>
      <c r="C67" s="10" t="s">
        <v>212</v>
      </c>
      <c r="D67" s="10" t="s">
        <v>151</v>
      </c>
      <c r="E67" s="10" t="str">
        <f aca="false">IF(B67=D67,"","CROSS-REALM")</f>
        <v/>
      </c>
      <c r="F67" s="10" t="n">
        <v>2</v>
      </c>
    </row>
    <row r="68" customFormat="false" ht="15" hidden="false" customHeight="false" outlineLevel="0" collapsed="false">
      <c r="A68" s="10" t="s">
        <v>204</v>
      </c>
      <c r="B68" s="10" t="s">
        <v>115</v>
      </c>
      <c r="C68" s="10" t="s">
        <v>212</v>
      </c>
      <c r="D68" s="10" t="s">
        <v>151</v>
      </c>
      <c r="E68" s="10" t="str">
        <f aca="false">IF(B68=D68,"","CROSS-REALM")</f>
        <v>CROSS-REALM</v>
      </c>
      <c r="F68" s="10" t="n">
        <v>2</v>
      </c>
    </row>
    <row r="69" customFormat="false" ht="15" hidden="false" customHeight="false" outlineLevel="0" collapsed="false">
      <c r="A69" s="10" t="s">
        <v>192</v>
      </c>
      <c r="B69" s="10" t="s">
        <v>76</v>
      </c>
      <c r="C69" s="10" t="s">
        <v>212</v>
      </c>
      <c r="D69" s="10" t="s">
        <v>151</v>
      </c>
      <c r="E69" s="10" t="str">
        <f aca="false">IF(B69=D69,"","CROSS-REALM")</f>
        <v>CROSS-REALM</v>
      </c>
      <c r="F69" s="10" t="n">
        <v>2</v>
      </c>
    </row>
    <row r="70" customFormat="false" ht="15" hidden="false" customHeight="false" outlineLevel="0" collapsed="false">
      <c r="A70" s="10" t="s">
        <v>179</v>
      </c>
      <c r="B70" s="10" t="s">
        <v>169</v>
      </c>
      <c r="C70" s="10" t="s">
        <v>216</v>
      </c>
      <c r="D70" s="10" t="s">
        <v>169</v>
      </c>
      <c r="E70" s="10" t="str">
        <f aca="false">IF(B70=D70,"","CROSS-REALM")</f>
        <v/>
      </c>
      <c r="F70" s="10" t="n">
        <v>2</v>
      </c>
    </row>
    <row r="71" customFormat="false" ht="15" hidden="false" customHeight="false" outlineLevel="0" collapsed="false">
      <c r="A71" s="10" t="s">
        <v>208</v>
      </c>
      <c r="B71" s="10" t="s">
        <v>133</v>
      </c>
      <c r="C71" s="10" t="s">
        <v>216</v>
      </c>
      <c r="D71" s="10" t="s">
        <v>169</v>
      </c>
      <c r="E71" s="10" t="str">
        <f aca="false">IF(B71=D71,"","CROSS-REALM")</f>
        <v>CROSS-REALM</v>
      </c>
      <c r="F71" s="10" t="n">
        <v>2</v>
      </c>
    </row>
    <row r="72" customFormat="false" ht="15" hidden="false" customHeight="false" outlineLevel="0" collapsed="false">
      <c r="A72" s="10" t="s">
        <v>188</v>
      </c>
      <c r="B72" s="10" t="s">
        <v>184</v>
      </c>
      <c r="C72" s="10" t="s">
        <v>220</v>
      </c>
      <c r="D72" s="10" t="s">
        <v>184</v>
      </c>
      <c r="E72" s="10" t="str">
        <f aca="false">IF(B72=D72,"","CROSS-REALM")</f>
        <v/>
      </c>
      <c r="F72" s="10" t="n">
        <v>3</v>
      </c>
    </row>
    <row r="73" customFormat="false" ht="15" hidden="false" customHeight="false" outlineLevel="0" collapsed="false">
      <c r="A73" s="10" t="s">
        <v>190</v>
      </c>
      <c r="B73" s="10" t="s">
        <v>184</v>
      </c>
      <c r="C73" s="10" t="s">
        <v>220</v>
      </c>
      <c r="D73" s="10" t="s">
        <v>184</v>
      </c>
      <c r="E73" s="10" t="str">
        <f aca="false">IF(B73=D73,"","CROSS-REALM")</f>
        <v/>
      </c>
      <c r="F73" s="10" t="n">
        <v>3</v>
      </c>
    </row>
    <row r="74" customFormat="false" ht="15" hidden="false" customHeight="false" outlineLevel="0" collapsed="false">
      <c r="A74" s="10" t="s">
        <v>192</v>
      </c>
      <c r="B74" s="10" t="s">
        <v>76</v>
      </c>
      <c r="C74" s="10" t="s">
        <v>224</v>
      </c>
      <c r="D74" s="10" t="s">
        <v>76</v>
      </c>
      <c r="E74" s="10" t="str">
        <f aca="false">IF(B74=D74,"","CROSS-REALM")</f>
        <v/>
      </c>
      <c r="F74" s="10" t="n">
        <v>3</v>
      </c>
    </row>
    <row r="75" customFormat="false" ht="15" hidden="false" customHeight="false" outlineLevel="0" collapsed="false">
      <c r="A75" s="10" t="s">
        <v>204</v>
      </c>
      <c r="B75" s="10" t="s">
        <v>115</v>
      </c>
      <c r="C75" s="10" t="s">
        <v>224</v>
      </c>
      <c r="D75" s="10" t="s">
        <v>76</v>
      </c>
      <c r="E75" s="10" t="str">
        <f aca="false">IF(B75=D75,"","CROSS-REALM")</f>
        <v>CROSS-REALM</v>
      </c>
      <c r="F75" s="10" t="n">
        <v>3</v>
      </c>
    </row>
    <row r="76" customFormat="false" ht="15" hidden="false" customHeight="false" outlineLevel="0" collapsed="false">
      <c r="A76" s="10" t="s">
        <v>161</v>
      </c>
      <c r="B76" s="10" t="s">
        <v>151</v>
      </c>
      <c r="C76" s="10" t="s">
        <v>224</v>
      </c>
      <c r="D76" s="10" t="s">
        <v>76</v>
      </c>
      <c r="E76" s="10" t="str">
        <f aca="false">IF(B76=D76,"","CROSS-REALM")</f>
        <v>CROSS-REALM</v>
      </c>
      <c r="F76" s="10" t="n">
        <v>3</v>
      </c>
    </row>
    <row r="77" customFormat="false" ht="15" hidden="false" customHeight="false" outlineLevel="0" collapsed="false">
      <c r="A77" s="10" t="s">
        <v>196</v>
      </c>
      <c r="B77" s="10" t="s">
        <v>83</v>
      </c>
      <c r="C77" s="10" t="s">
        <v>228</v>
      </c>
      <c r="D77" s="10" t="s">
        <v>83</v>
      </c>
      <c r="E77" s="10" t="str">
        <f aca="false">IF(B77=D77,"","CROSS-REALM")</f>
        <v/>
      </c>
      <c r="F77" s="10" t="n">
        <v>3</v>
      </c>
    </row>
    <row r="78" customFormat="false" ht="15" hidden="false" customHeight="false" outlineLevel="0" collapsed="false">
      <c r="A78" s="10" t="s">
        <v>212</v>
      </c>
      <c r="B78" s="10" t="s">
        <v>151</v>
      </c>
      <c r="C78" s="10" t="s">
        <v>228</v>
      </c>
      <c r="D78" s="10" t="s">
        <v>83</v>
      </c>
      <c r="E78" s="10" t="str">
        <f aca="false">IF(B78=D78,"","CROSS-REALM")</f>
        <v>CROSS-REALM</v>
      </c>
      <c r="F78" s="10" t="n">
        <v>3</v>
      </c>
    </row>
    <row r="79" customFormat="false" ht="15" hidden="false" customHeight="false" outlineLevel="0" collapsed="false">
      <c r="A79" s="10" t="s">
        <v>200</v>
      </c>
      <c r="B79" s="10" t="s">
        <v>100</v>
      </c>
      <c r="C79" s="10" t="s">
        <v>232</v>
      </c>
      <c r="D79" s="10" t="s">
        <v>100</v>
      </c>
      <c r="E79" s="10" t="str">
        <f aca="false">IF(B79=D79,"","CROSS-REALM")</f>
        <v/>
      </c>
      <c r="F79" s="10" t="n">
        <v>3</v>
      </c>
    </row>
    <row r="80" customFormat="false" ht="15" hidden="false" customHeight="false" outlineLevel="0" collapsed="false">
      <c r="A80" s="10" t="s">
        <v>208</v>
      </c>
      <c r="B80" s="10" t="s">
        <v>133</v>
      </c>
      <c r="C80" s="10" t="s">
        <v>232</v>
      </c>
      <c r="D80" s="10" t="s">
        <v>100</v>
      </c>
      <c r="E80" s="10" t="str">
        <f aca="false">IF(B80=D80,"","CROSS-REALM")</f>
        <v>CROSS-REALM</v>
      </c>
      <c r="F80" s="10" t="n">
        <v>3</v>
      </c>
    </row>
    <row r="81" customFormat="false" ht="15" hidden="false" customHeight="false" outlineLevel="0" collapsed="false">
      <c r="A81" s="10" t="s">
        <v>204</v>
      </c>
      <c r="B81" s="10" t="s">
        <v>115</v>
      </c>
      <c r="C81" s="10" t="s">
        <v>232</v>
      </c>
      <c r="D81" s="10" t="s">
        <v>100</v>
      </c>
      <c r="E81" s="10" t="str">
        <f aca="false">IF(B81=D81,"","CROSS-REALM")</f>
        <v>CROSS-REALM</v>
      </c>
      <c r="F81" s="10" t="n">
        <v>3</v>
      </c>
    </row>
    <row r="82" customFormat="false" ht="15" hidden="false" customHeight="false" outlineLevel="0" collapsed="false">
      <c r="A82" s="10" t="s">
        <v>208</v>
      </c>
      <c r="B82" s="10" t="s">
        <v>133</v>
      </c>
      <c r="C82" s="10" t="s">
        <v>236</v>
      </c>
      <c r="D82" s="10" t="s">
        <v>133</v>
      </c>
      <c r="E82" s="10" t="str">
        <f aca="false">IF(B82=D82,"","CROSS-REALM")</f>
        <v/>
      </c>
      <c r="F82" s="10" t="n">
        <v>3</v>
      </c>
    </row>
    <row r="83" customFormat="false" ht="15" hidden="false" customHeight="false" outlineLevel="0" collapsed="false">
      <c r="A83" s="10" t="s">
        <v>212</v>
      </c>
      <c r="B83" s="10" t="s">
        <v>151</v>
      </c>
      <c r="C83" s="10" t="s">
        <v>236</v>
      </c>
      <c r="D83" s="10" t="s">
        <v>133</v>
      </c>
      <c r="E83" s="10" t="str">
        <f aca="false">IF(B83=D83,"","CROSS-REALM")</f>
        <v>CROSS-REALM</v>
      </c>
      <c r="F83" s="10" t="n">
        <v>3</v>
      </c>
    </row>
    <row r="84" customFormat="false" ht="15" hidden="false" customHeight="false" outlineLevel="0" collapsed="false">
      <c r="A84" s="10" t="s">
        <v>212</v>
      </c>
      <c r="B84" s="10" t="s">
        <v>151</v>
      </c>
      <c r="C84" s="10" t="s">
        <v>240</v>
      </c>
      <c r="D84" s="10" t="s">
        <v>151</v>
      </c>
      <c r="E84" s="10" t="str">
        <f aca="false">IF(B84=D84,"","CROSS-REALM")</f>
        <v/>
      </c>
      <c r="F84" s="10" t="n">
        <v>3</v>
      </c>
    </row>
    <row r="85" customFormat="false" ht="15" hidden="false" customHeight="false" outlineLevel="0" collapsed="false">
      <c r="A85" s="10" t="s">
        <v>216</v>
      </c>
      <c r="B85" s="10" t="s">
        <v>169</v>
      </c>
      <c r="C85" s="10" t="s">
        <v>240</v>
      </c>
      <c r="D85" s="10" t="s">
        <v>151</v>
      </c>
      <c r="E85" s="10" t="str">
        <f aca="false">IF(B85=D85,"","CROSS-REALM")</f>
        <v>CROSS-REALM</v>
      </c>
      <c r="F85" s="10" t="n">
        <v>3</v>
      </c>
    </row>
    <row r="86" customFormat="false" ht="15" hidden="false" customHeight="false" outlineLevel="0" collapsed="false">
      <c r="A86" s="10" t="s">
        <v>188</v>
      </c>
      <c r="B86" s="10" t="s">
        <v>184</v>
      </c>
      <c r="C86" s="10" t="s">
        <v>244</v>
      </c>
      <c r="D86" s="10" t="s">
        <v>184</v>
      </c>
      <c r="E86" s="10" t="str">
        <f aca="false">IF(B86=D86,"","CROSS-REALM")</f>
        <v/>
      </c>
      <c r="F86" s="10" t="n">
        <v>3</v>
      </c>
    </row>
    <row r="87" customFormat="false" ht="15" hidden="false" customHeight="false" outlineLevel="0" collapsed="false">
      <c r="A87" s="10" t="s">
        <v>204</v>
      </c>
      <c r="B87" s="10" t="s">
        <v>115</v>
      </c>
      <c r="C87" s="10" t="s">
        <v>246</v>
      </c>
      <c r="D87" s="10" t="s">
        <v>115</v>
      </c>
      <c r="E87" s="10" t="str">
        <f aca="false">IF(B87=D87,"","CROSS-REALM")</f>
        <v/>
      </c>
      <c r="F87" s="10" t="n">
        <v>3</v>
      </c>
    </row>
    <row r="88" customFormat="false" ht="15" hidden="false" customHeight="false" outlineLevel="0" collapsed="false">
      <c r="A88" s="10" t="s">
        <v>224</v>
      </c>
      <c r="B88" s="10" t="s">
        <v>76</v>
      </c>
      <c r="C88" s="10" t="s">
        <v>246</v>
      </c>
      <c r="D88" s="10" t="s">
        <v>115</v>
      </c>
      <c r="E88" s="10" t="str">
        <f aca="false">IF(B88=D88,"","CROSS-REALM")</f>
        <v>CROSS-REALM</v>
      </c>
      <c r="F88" s="10" t="n">
        <v>3</v>
      </c>
    </row>
    <row r="89" customFormat="false" ht="15" hidden="false" customHeight="false" outlineLevel="0" collapsed="false">
      <c r="A89" s="10" t="s">
        <v>179</v>
      </c>
      <c r="B89" s="10" t="s">
        <v>169</v>
      </c>
      <c r="C89" s="10" t="s">
        <v>246</v>
      </c>
      <c r="D89" s="10" t="s">
        <v>115</v>
      </c>
      <c r="E89" s="10" t="str">
        <f aca="false">IF(B89=D89,"","CROSS-REALM")</f>
        <v>CROSS-REALM</v>
      </c>
      <c r="F89" s="10" t="n">
        <v>3</v>
      </c>
    </row>
    <row r="90" customFormat="false" ht="15" hidden="false" customHeight="false" outlineLevel="0" collapsed="false">
      <c r="A90" s="10" t="s">
        <v>224</v>
      </c>
      <c r="B90" s="10" t="s">
        <v>76</v>
      </c>
      <c r="C90" s="10" t="s">
        <v>250</v>
      </c>
      <c r="D90" s="10" t="s">
        <v>91</v>
      </c>
      <c r="E90" s="10" t="str">
        <f aca="false">IF(B90=D90,"","CROSS-REALM")</f>
        <v>CROSS-REALM</v>
      </c>
      <c r="F90" s="10" t="n">
        <v>3</v>
      </c>
    </row>
    <row r="91" customFormat="false" ht="15" hidden="false" customHeight="false" outlineLevel="0" collapsed="false">
      <c r="A91" s="10" t="s">
        <v>216</v>
      </c>
      <c r="B91" s="10" t="s">
        <v>169</v>
      </c>
      <c r="C91" s="10" t="s">
        <v>253</v>
      </c>
      <c r="D91" s="10" t="s">
        <v>169</v>
      </c>
      <c r="E91" s="10" t="str">
        <f aca="false">IF(B91=D91,"","CROSS-REALM")</f>
        <v/>
      </c>
      <c r="F91" s="10" t="n">
        <v>3</v>
      </c>
    </row>
    <row r="92" customFormat="false" ht="15" hidden="false" customHeight="false" outlineLevel="0" collapsed="false">
      <c r="A92" s="10" t="s">
        <v>232</v>
      </c>
      <c r="B92" s="10" t="s">
        <v>100</v>
      </c>
      <c r="C92" s="10" t="s">
        <v>253</v>
      </c>
      <c r="D92" s="10" t="s">
        <v>169</v>
      </c>
      <c r="E92" s="10" t="str">
        <f aca="false">IF(B92=D92,"","CROSS-REALM")</f>
        <v>CROSS-REALM</v>
      </c>
      <c r="F92" s="10" t="n">
        <v>3</v>
      </c>
    </row>
    <row r="93" customFormat="false" ht="15" hidden="false" customHeight="false" outlineLevel="0" collapsed="false">
      <c r="A93" s="10" t="s">
        <v>220</v>
      </c>
      <c r="B93" s="10" t="s">
        <v>184</v>
      </c>
      <c r="C93" s="10" t="s">
        <v>257</v>
      </c>
      <c r="D93" s="10" t="s">
        <v>184</v>
      </c>
      <c r="E93" s="10" t="str">
        <f aca="false">IF(B93=D93,"","CROSS-REALM")</f>
        <v/>
      </c>
      <c r="F93" s="10" t="n">
        <v>3</v>
      </c>
    </row>
    <row r="94" customFormat="false" ht="15" hidden="false" customHeight="false" outlineLevel="0" collapsed="false">
      <c r="A94" s="10" t="s">
        <v>244</v>
      </c>
      <c r="B94" s="10" t="s">
        <v>184</v>
      </c>
      <c r="C94" s="10" t="s">
        <v>257</v>
      </c>
      <c r="D94" s="10" t="s">
        <v>184</v>
      </c>
      <c r="E94" s="10" t="str">
        <f aca="false">IF(B94=D94,"","CROSS-REALM")</f>
        <v/>
      </c>
      <c r="F94" s="10" t="n">
        <v>3</v>
      </c>
    </row>
    <row r="95" customFormat="false" ht="15" hidden="false" customHeight="false" outlineLevel="0" collapsed="false">
      <c r="A95" s="10" t="s">
        <v>224</v>
      </c>
      <c r="B95" s="10" t="s">
        <v>76</v>
      </c>
      <c r="C95" s="10" t="s">
        <v>257</v>
      </c>
      <c r="D95" s="10" t="s">
        <v>184</v>
      </c>
      <c r="E95" s="10" t="str">
        <f aca="false">IF(B95=D95,"","CROSS-REALM")</f>
        <v>CROSS-REALM</v>
      </c>
      <c r="F95" s="10" t="n">
        <v>3</v>
      </c>
    </row>
    <row r="96" customFormat="false" ht="15" hidden="false" customHeight="false" outlineLevel="0" collapsed="false">
      <c r="A96" s="10" t="s">
        <v>246</v>
      </c>
      <c r="B96" s="10" t="s">
        <v>115</v>
      </c>
      <c r="C96" s="10" t="s">
        <v>257</v>
      </c>
      <c r="D96" s="10" t="s">
        <v>184</v>
      </c>
      <c r="E96" s="10" t="str">
        <f aca="false">IF(B96=D96,"","CROSS-REALM")</f>
        <v>CROSS-REALM</v>
      </c>
      <c r="F96" s="10" t="n">
        <v>3</v>
      </c>
    </row>
    <row r="97" customFormat="false" ht="15" hidden="false" customHeight="false" outlineLevel="0" collapsed="false">
      <c r="A97" s="10" t="s">
        <v>232</v>
      </c>
      <c r="B97" s="10" t="s">
        <v>100</v>
      </c>
      <c r="C97" s="10" t="s">
        <v>257</v>
      </c>
      <c r="D97" s="10" t="s">
        <v>184</v>
      </c>
      <c r="E97" s="10" t="str">
        <f aca="false">IF(B97=D97,"","CROSS-REALM")</f>
        <v>CROSS-REALM</v>
      </c>
      <c r="F97" s="10" t="n">
        <v>3</v>
      </c>
    </row>
    <row r="98" customFormat="false" ht="15" hidden="false" customHeight="false" outlineLevel="0" collapsed="false">
      <c r="A98" s="10" t="s">
        <v>236</v>
      </c>
      <c r="B98" s="10" t="s">
        <v>133</v>
      </c>
      <c r="C98" s="10" t="s">
        <v>257</v>
      </c>
      <c r="D98" s="10" t="s">
        <v>184</v>
      </c>
      <c r="E98" s="10" t="str">
        <f aca="false">IF(B98=D98,"","CROSS-REALM")</f>
        <v>CROSS-REALM</v>
      </c>
      <c r="F98" s="10" t="n">
        <v>3</v>
      </c>
    </row>
    <row r="99" customFormat="false" ht="15" hidden="false" customHeight="false" outlineLevel="0" collapsed="false">
      <c r="A99" s="10" t="s">
        <v>240</v>
      </c>
      <c r="B99" s="10" t="s">
        <v>151</v>
      </c>
      <c r="C99" s="10" t="s">
        <v>257</v>
      </c>
      <c r="D99" s="10" t="s">
        <v>184</v>
      </c>
      <c r="E99" s="10" t="str">
        <f aca="false">IF(B99=D99,"","CROSS-REALM")</f>
        <v>CROSS-REALM</v>
      </c>
      <c r="F99" s="10" t="n">
        <v>3</v>
      </c>
    </row>
    <row r="100" customFormat="false" ht="15" hidden="false" customHeight="false" outlineLevel="0" collapsed="false">
      <c r="A100" s="10" t="s">
        <v>253</v>
      </c>
      <c r="B100" s="10" t="s">
        <v>169</v>
      </c>
      <c r="C100" s="10" t="s">
        <v>257</v>
      </c>
      <c r="D100" s="10" t="s">
        <v>184</v>
      </c>
      <c r="E100" s="10" t="str">
        <f aca="false">IF(B100=D100,"","CROSS-REALM")</f>
        <v>CROSS-REALM</v>
      </c>
      <c r="F100" s="10" t="n">
        <v>3</v>
      </c>
    </row>
    <row r="101" customFormat="false" ht="15" hidden="false" customHeight="false" outlineLevel="0" collapsed="false">
      <c r="A101" s="10" t="s">
        <v>257</v>
      </c>
      <c r="B101" s="10" t="s">
        <v>184</v>
      </c>
      <c r="C101" s="10" t="s">
        <v>261</v>
      </c>
      <c r="D101" s="10" t="s">
        <v>184</v>
      </c>
      <c r="E101" s="10" t="str">
        <f aca="false">IF(B101=D101,"","CROSS-REALM")</f>
        <v/>
      </c>
      <c r="F101" s="1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6" min="5" style="0" width="9"/>
    <col collapsed="false" customWidth="true" hidden="false" outlineLevel="0" max="7" min="7" style="0" width="62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4" customFormat="false" ht="15" hidden="false" customHeight="false" outlineLevel="0" collapsed="false">
      <c r="A4" s="4" t="s">
        <v>277</v>
      </c>
      <c r="B4" s="15" t="n">
        <f aca="false">COUNTIF(E8:E70,"CHECK")</f>
        <v>0</v>
      </c>
      <c r="C4" s="2" t="s">
        <v>278</v>
      </c>
    </row>
    <row r="5" customFormat="false" ht="15" hidden="false" customHeight="false" outlineLevel="0" collapsed="false">
      <c r="A5" s="4" t="s">
        <v>279</v>
      </c>
      <c r="B5" s="3" t="n">
        <f aca="false">MIN(H8:H70)</f>
        <v>2</v>
      </c>
    </row>
    <row r="7" customFormat="false" ht="26.85" hidden="false" customHeight="false" outlineLevel="0" collapsed="false">
      <c r="A7" s="8" t="s">
        <v>280</v>
      </c>
      <c r="B7" s="8" t="s">
        <v>281</v>
      </c>
      <c r="C7" s="8" t="s">
        <v>282</v>
      </c>
      <c r="D7" s="8" t="s">
        <v>283</v>
      </c>
      <c r="E7" s="8" t="s">
        <v>284</v>
      </c>
      <c r="F7" s="8" t="s">
        <v>71</v>
      </c>
      <c r="G7" s="8" t="s">
        <v>285</v>
      </c>
      <c r="H7" s="8" t="s">
        <v>286</v>
      </c>
    </row>
    <row r="8" customFormat="false" ht="15" hidden="false" customHeight="false" outlineLevel="0" collapsed="false">
      <c r="A8" s="10" t="n">
        <v>1</v>
      </c>
      <c r="B8" s="10" t="n">
        <f aca="false">COUNTIFS('Switch Graph'!$G$5:$G$67,"&lt;="&amp;A8,'Switch Graph'!$H$5:$H$67,"&gt;="&amp;A8)</f>
        <v>3</v>
      </c>
      <c r="C8" s="10" t="n">
        <f aca="false">IF(A8&gt;=Parameters!$B$24,1,Parameters!$B$27)</f>
        <v>2</v>
      </c>
      <c r="D8" s="10" t="n">
        <f aca="false">IF(A8&gt;=Parameters!$B$24,99,IF(A8&lt;=Parameters!$B$23,Parameters!$B$28,Parameters!$B$29))</f>
        <v>5</v>
      </c>
      <c r="E8" s="10" t="str">
        <f aca="false">IF(OR(B8&lt;C8,B8&gt;D8),"CHECK","OK")</f>
        <v>OK</v>
      </c>
      <c r="F8" s="10" t="str">
        <f aca="false">IF(A8&gt;=Parameters!$B$24,"Finale",IF(A8&lt;=Parameters!$B$22,"Early",IF(A8&lt;=Parameters!$B$23,"Mid","Late")))</f>
        <v>Early</v>
      </c>
      <c r="G8" s="10" t="s">
        <v>287</v>
      </c>
      <c r="H8" s="3" t="n">
        <f aca="false">IF(A8&lt;Parameters!$B$24,B8,999)</f>
        <v>3</v>
      </c>
    </row>
    <row r="9" customFormat="false" ht="15" hidden="false" customHeight="false" outlineLevel="0" collapsed="false">
      <c r="A9" s="10" t="n">
        <v>2</v>
      </c>
      <c r="B9" s="10" t="n">
        <f aca="false">COUNTIFS('Switch Graph'!$G$5:$G$67,"&lt;="&amp;A9,'Switch Graph'!$H$5:$H$67,"&gt;="&amp;A9)</f>
        <v>4</v>
      </c>
      <c r="C9" s="10" t="n">
        <f aca="false">IF(A9&gt;=Parameters!$B$24,1,Parameters!$B$27)</f>
        <v>2</v>
      </c>
      <c r="D9" s="10" t="n">
        <f aca="false">IF(A9&gt;=Parameters!$B$24,99,IF(A9&lt;=Parameters!$B$23,Parameters!$B$28,Parameters!$B$29))</f>
        <v>5</v>
      </c>
      <c r="E9" s="10" t="str">
        <f aca="false">IF(OR(B9&lt;C9,B9&gt;D9),"CHECK","OK")</f>
        <v>OK</v>
      </c>
      <c r="F9" s="10" t="str">
        <f aca="false">IF(A9&gt;=Parameters!$B$24,"Finale",IF(A9&lt;=Parameters!$B$22,"Early",IF(A9&lt;=Parameters!$B$23,"Mid","Late")))</f>
        <v>Early</v>
      </c>
      <c r="G9" s="10" t="s">
        <v>288</v>
      </c>
      <c r="H9" s="3" t="n">
        <f aca="false">IF(A9&lt;Parameters!$B$24,B9,999)</f>
        <v>4</v>
      </c>
    </row>
    <row r="10" customFormat="false" ht="15" hidden="false" customHeight="false" outlineLevel="0" collapsed="false">
      <c r="A10" s="10" t="n">
        <v>3</v>
      </c>
      <c r="B10" s="10" t="n">
        <f aca="false">COUNTIFS('Switch Graph'!$G$5:$G$67,"&lt;="&amp;A10,'Switch Graph'!$H$5:$H$67,"&gt;="&amp;A10)</f>
        <v>4</v>
      </c>
      <c r="C10" s="10" t="n">
        <f aca="false">IF(A10&gt;=Parameters!$B$24,1,Parameters!$B$27)</f>
        <v>2</v>
      </c>
      <c r="D10" s="10" t="n">
        <f aca="false">IF(A10&gt;=Parameters!$B$24,99,IF(A10&lt;=Parameters!$B$23,Parameters!$B$28,Parameters!$B$29))</f>
        <v>5</v>
      </c>
      <c r="E10" s="10" t="str">
        <f aca="false">IF(OR(B10&lt;C10,B10&gt;D10),"CHECK","OK")</f>
        <v>OK</v>
      </c>
      <c r="F10" s="10" t="str">
        <f aca="false">IF(A10&gt;=Parameters!$B$24,"Finale",IF(A10&lt;=Parameters!$B$22,"Early",IF(A10&lt;=Parameters!$B$23,"Mid","Late")))</f>
        <v>Early</v>
      </c>
      <c r="G10" s="10" t="s">
        <v>289</v>
      </c>
      <c r="H10" s="3" t="n">
        <f aca="false">IF(A10&lt;Parameters!$B$24,B10,999)</f>
        <v>4</v>
      </c>
    </row>
    <row r="11" customFormat="false" ht="15" hidden="false" customHeight="false" outlineLevel="0" collapsed="false">
      <c r="A11" s="10" t="n">
        <v>4</v>
      </c>
      <c r="B11" s="10" t="n">
        <f aca="false">COUNTIFS('Switch Graph'!$G$5:$G$67,"&lt;="&amp;A11,'Switch Graph'!$H$5:$H$67,"&gt;="&amp;A11)</f>
        <v>3</v>
      </c>
      <c r="C11" s="10" t="n">
        <f aca="false">IF(A11&gt;=Parameters!$B$24,1,Parameters!$B$27)</f>
        <v>2</v>
      </c>
      <c r="D11" s="10" t="n">
        <f aca="false">IF(A11&gt;=Parameters!$B$24,99,IF(A11&lt;=Parameters!$B$23,Parameters!$B$28,Parameters!$B$29))</f>
        <v>5</v>
      </c>
      <c r="E11" s="10" t="str">
        <f aca="false">IF(OR(B11&lt;C11,B11&gt;D11),"CHECK","OK")</f>
        <v>OK</v>
      </c>
      <c r="F11" s="10" t="str">
        <f aca="false">IF(A11&gt;=Parameters!$B$24,"Finale",IF(A11&lt;=Parameters!$B$22,"Early",IF(A11&lt;=Parameters!$B$23,"Mid","Late")))</f>
        <v>Early</v>
      </c>
      <c r="G11" s="10" t="s">
        <v>290</v>
      </c>
      <c r="H11" s="3" t="n">
        <f aca="false">IF(A11&lt;Parameters!$B$24,B11,999)</f>
        <v>3</v>
      </c>
    </row>
    <row r="12" customFormat="false" ht="15" hidden="false" customHeight="false" outlineLevel="0" collapsed="false">
      <c r="A12" s="10" t="n">
        <v>5</v>
      </c>
      <c r="B12" s="10" t="n">
        <f aca="false">COUNTIFS('Switch Graph'!$G$5:$G$67,"&lt;="&amp;A12,'Switch Graph'!$H$5:$H$67,"&gt;="&amp;A12)</f>
        <v>4</v>
      </c>
      <c r="C12" s="10" t="n">
        <f aca="false">IF(A12&gt;=Parameters!$B$24,1,Parameters!$B$27)</f>
        <v>2</v>
      </c>
      <c r="D12" s="10" t="n">
        <f aca="false">IF(A12&gt;=Parameters!$B$24,99,IF(A12&lt;=Parameters!$B$23,Parameters!$B$28,Parameters!$B$29))</f>
        <v>5</v>
      </c>
      <c r="E12" s="10" t="str">
        <f aca="false">IF(OR(B12&lt;C12,B12&gt;D12),"CHECK","OK")</f>
        <v>OK</v>
      </c>
      <c r="F12" s="10" t="str">
        <f aca="false">IF(A12&gt;=Parameters!$B$24,"Finale",IF(A12&lt;=Parameters!$B$22,"Early",IF(A12&lt;=Parameters!$B$23,"Mid","Late")))</f>
        <v>Early</v>
      </c>
      <c r="G12" s="10" t="s">
        <v>291</v>
      </c>
      <c r="H12" s="3" t="n">
        <f aca="false">IF(A12&lt;Parameters!$B$24,B12,999)</f>
        <v>4</v>
      </c>
    </row>
    <row r="13" customFormat="false" ht="15" hidden="false" customHeight="false" outlineLevel="0" collapsed="false">
      <c r="A13" s="10" t="n">
        <v>6</v>
      </c>
      <c r="B13" s="10" t="n">
        <f aca="false">COUNTIFS('Switch Graph'!$G$5:$G$67,"&lt;="&amp;A13,'Switch Graph'!$H$5:$H$67,"&gt;="&amp;A13)</f>
        <v>3</v>
      </c>
      <c r="C13" s="10" t="n">
        <f aca="false">IF(A13&gt;=Parameters!$B$24,1,Parameters!$B$27)</f>
        <v>2</v>
      </c>
      <c r="D13" s="10" t="n">
        <f aca="false">IF(A13&gt;=Parameters!$B$24,99,IF(A13&lt;=Parameters!$B$23,Parameters!$B$28,Parameters!$B$29))</f>
        <v>5</v>
      </c>
      <c r="E13" s="10" t="str">
        <f aca="false">IF(OR(B13&lt;C13,B13&gt;D13),"CHECK","OK")</f>
        <v>OK</v>
      </c>
      <c r="F13" s="10" t="str">
        <f aca="false">IF(A13&gt;=Parameters!$B$24,"Finale",IF(A13&lt;=Parameters!$B$22,"Early",IF(A13&lt;=Parameters!$B$23,"Mid","Late")))</f>
        <v>Early</v>
      </c>
      <c r="G13" s="10" t="s">
        <v>292</v>
      </c>
      <c r="H13" s="3" t="n">
        <f aca="false">IF(A13&lt;Parameters!$B$24,B13,999)</f>
        <v>3</v>
      </c>
    </row>
    <row r="14" customFormat="false" ht="15" hidden="false" customHeight="false" outlineLevel="0" collapsed="false">
      <c r="A14" s="10" t="n">
        <v>7</v>
      </c>
      <c r="B14" s="10" t="n">
        <f aca="false">COUNTIFS('Switch Graph'!$G$5:$G$67,"&lt;="&amp;A14,'Switch Graph'!$H$5:$H$67,"&gt;="&amp;A14)</f>
        <v>2</v>
      </c>
      <c r="C14" s="10" t="n">
        <f aca="false">IF(A14&gt;=Parameters!$B$24,1,Parameters!$B$27)</f>
        <v>2</v>
      </c>
      <c r="D14" s="10" t="n">
        <f aca="false">IF(A14&gt;=Parameters!$B$24,99,IF(A14&lt;=Parameters!$B$23,Parameters!$B$28,Parameters!$B$29))</f>
        <v>5</v>
      </c>
      <c r="E14" s="10" t="str">
        <f aca="false">IF(OR(B14&lt;C14,B14&gt;D14),"CHECK","OK")</f>
        <v>OK</v>
      </c>
      <c r="F14" s="10" t="str">
        <f aca="false">IF(A14&gt;=Parameters!$B$24,"Finale",IF(A14&lt;=Parameters!$B$22,"Early",IF(A14&lt;=Parameters!$B$23,"Mid","Late")))</f>
        <v>Early</v>
      </c>
      <c r="G14" s="10" t="s">
        <v>293</v>
      </c>
      <c r="H14" s="3" t="n">
        <f aca="false">IF(A14&lt;Parameters!$B$24,B14,999)</f>
        <v>2</v>
      </c>
    </row>
    <row r="15" customFormat="false" ht="15" hidden="false" customHeight="false" outlineLevel="0" collapsed="false">
      <c r="A15" s="10" t="n">
        <v>8</v>
      </c>
      <c r="B15" s="10" t="n">
        <f aca="false">COUNTIFS('Switch Graph'!$G$5:$G$67,"&lt;="&amp;A15,'Switch Graph'!$H$5:$H$67,"&gt;="&amp;A15)</f>
        <v>2</v>
      </c>
      <c r="C15" s="10" t="n">
        <f aca="false">IF(A15&gt;=Parameters!$B$24,1,Parameters!$B$27)</f>
        <v>2</v>
      </c>
      <c r="D15" s="10" t="n">
        <f aca="false">IF(A15&gt;=Parameters!$B$24,99,IF(A15&lt;=Parameters!$B$23,Parameters!$B$28,Parameters!$B$29))</f>
        <v>5</v>
      </c>
      <c r="E15" s="10" t="str">
        <f aca="false">IF(OR(B15&lt;C15,B15&gt;D15),"CHECK","OK")</f>
        <v>OK</v>
      </c>
      <c r="F15" s="10" t="str">
        <f aca="false">IF(A15&gt;=Parameters!$B$24,"Finale",IF(A15&lt;=Parameters!$B$22,"Early",IF(A15&lt;=Parameters!$B$23,"Mid","Late")))</f>
        <v>Early</v>
      </c>
      <c r="G15" s="10" t="s">
        <v>294</v>
      </c>
      <c r="H15" s="3" t="n">
        <f aca="false">IF(A15&lt;Parameters!$B$24,B15,999)</f>
        <v>2</v>
      </c>
    </row>
    <row r="16" customFormat="false" ht="15" hidden="false" customHeight="false" outlineLevel="0" collapsed="false">
      <c r="A16" s="10" t="n">
        <v>9</v>
      </c>
      <c r="B16" s="10" t="n">
        <f aca="false">COUNTIFS('Switch Graph'!$G$5:$G$67,"&lt;="&amp;A16,'Switch Graph'!$H$5:$H$67,"&gt;="&amp;A16)</f>
        <v>3</v>
      </c>
      <c r="C16" s="10" t="n">
        <f aca="false">IF(A16&gt;=Parameters!$B$24,1,Parameters!$B$27)</f>
        <v>2</v>
      </c>
      <c r="D16" s="10" t="n">
        <f aca="false">IF(A16&gt;=Parameters!$B$24,99,IF(A16&lt;=Parameters!$B$23,Parameters!$B$28,Parameters!$B$29))</f>
        <v>5</v>
      </c>
      <c r="E16" s="10" t="str">
        <f aca="false">IF(OR(B16&lt;C16,B16&gt;D16),"CHECK","OK")</f>
        <v>OK</v>
      </c>
      <c r="F16" s="10" t="str">
        <f aca="false">IF(A16&gt;=Parameters!$B$24,"Finale",IF(A16&lt;=Parameters!$B$22,"Early",IF(A16&lt;=Parameters!$B$23,"Mid","Late")))</f>
        <v>Early</v>
      </c>
      <c r="G16" s="10" t="s">
        <v>295</v>
      </c>
      <c r="H16" s="3" t="n">
        <f aca="false">IF(A16&lt;Parameters!$B$24,B16,999)</f>
        <v>3</v>
      </c>
    </row>
    <row r="17" customFormat="false" ht="15" hidden="false" customHeight="false" outlineLevel="0" collapsed="false">
      <c r="A17" s="10" t="n">
        <v>10</v>
      </c>
      <c r="B17" s="10" t="n">
        <f aca="false">COUNTIFS('Switch Graph'!$G$5:$G$67,"&lt;="&amp;A17,'Switch Graph'!$H$5:$H$67,"&gt;="&amp;A17)</f>
        <v>3</v>
      </c>
      <c r="C17" s="10" t="n">
        <f aca="false">IF(A17&gt;=Parameters!$B$24,1,Parameters!$B$27)</f>
        <v>2</v>
      </c>
      <c r="D17" s="10" t="n">
        <f aca="false">IF(A17&gt;=Parameters!$B$24,99,IF(A17&lt;=Parameters!$B$23,Parameters!$B$28,Parameters!$B$29))</f>
        <v>5</v>
      </c>
      <c r="E17" s="10" t="str">
        <f aca="false">IF(OR(B17&lt;C17,B17&gt;D17),"CHECK","OK")</f>
        <v>OK</v>
      </c>
      <c r="F17" s="10" t="str">
        <f aca="false">IF(A17&gt;=Parameters!$B$24,"Finale",IF(A17&lt;=Parameters!$B$22,"Early",IF(A17&lt;=Parameters!$B$23,"Mid","Late")))</f>
        <v>Early</v>
      </c>
      <c r="G17" s="10" t="s">
        <v>296</v>
      </c>
      <c r="H17" s="3" t="n">
        <f aca="false">IF(A17&lt;Parameters!$B$24,B17,999)</f>
        <v>3</v>
      </c>
    </row>
    <row r="18" customFormat="false" ht="15" hidden="false" customHeight="false" outlineLevel="0" collapsed="false">
      <c r="A18" s="10" t="n">
        <v>11</v>
      </c>
      <c r="B18" s="10" t="n">
        <f aca="false">COUNTIFS('Switch Graph'!$G$5:$G$67,"&lt;="&amp;A18,'Switch Graph'!$H$5:$H$67,"&gt;="&amp;A18)</f>
        <v>4</v>
      </c>
      <c r="C18" s="10" t="n">
        <f aca="false">IF(A18&gt;=Parameters!$B$24,1,Parameters!$B$27)</f>
        <v>2</v>
      </c>
      <c r="D18" s="10" t="n">
        <f aca="false">IF(A18&gt;=Parameters!$B$24,99,IF(A18&lt;=Parameters!$B$23,Parameters!$B$28,Parameters!$B$29))</f>
        <v>5</v>
      </c>
      <c r="E18" s="10" t="str">
        <f aca="false">IF(OR(B18&lt;C18,B18&gt;D18),"CHECK","OK")</f>
        <v>OK</v>
      </c>
      <c r="F18" s="10" t="str">
        <f aca="false">IF(A18&gt;=Parameters!$B$24,"Finale",IF(A18&lt;=Parameters!$B$22,"Early",IF(A18&lt;=Parameters!$B$23,"Mid","Late")))</f>
        <v>Early</v>
      </c>
      <c r="G18" s="10" t="s">
        <v>297</v>
      </c>
      <c r="H18" s="3" t="n">
        <f aca="false">IF(A18&lt;Parameters!$B$24,B18,999)</f>
        <v>4</v>
      </c>
    </row>
    <row r="19" customFormat="false" ht="15" hidden="false" customHeight="false" outlineLevel="0" collapsed="false">
      <c r="A19" s="10" t="n">
        <v>12</v>
      </c>
      <c r="B19" s="10" t="n">
        <f aca="false">COUNTIFS('Switch Graph'!$G$5:$G$67,"&lt;="&amp;A19,'Switch Graph'!$H$5:$H$67,"&gt;="&amp;A19)</f>
        <v>3</v>
      </c>
      <c r="C19" s="10" t="n">
        <f aca="false">IF(A19&gt;=Parameters!$B$24,1,Parameters!$B$27)</f>
        <v>2</v>
      </c>
      <c r="D19" s="10" t="n">
        <f aca="false">IF(A19&gt;=Parameters!$B$24,99,IF(A19&lt;=Parameters!$B$23,Parameters!$B$28,Parameters!$B$29))</f>
        <v>5</v>
      </c>
      <c r="E19" s="10" t="str">
        <f aca="false">IF(OR(B19&lt;C19,B19&gt;D19),"CHECK","OK")</f>
        <v>OK</v>
      </c>
      <c r="F19" s="10" t="str">
        <f aca="false">IF(A19&gt;=Parameters!$B$24,"Finale",IF(A19&lt;=Parameters!$B$22,"Early",IF(A19&lt;=Parameters!$B$23,"Mid","Late")))</f>
        <v>Early</v>
      </c>
      <c r="G19" s="10" t="s">
        <v>298</v>
      </c>
      <c r="H19" s="3" t="n">
        <f aca="false">IF(A19&lt;Parameters!$B$24,B19,999)</f>
        <v>3</v>
      </c>
    </row>
    <row r="20" customFormat="false" ht="15" hidden="false" customHeight="false" outlineLevel="0" collapsed="false">
      <c r="A20" s="10" t="n">
        <v>13</v>
      </c>
      <c r="B20" s="10" t="n">
        <f aca="false">COUNTIFS('Switch Graph'!$G$5:$G$67,"&lt;="&amp;A20,'Switch Graph'!$H$5:$H$67,"&gt;="&amp;A20)</f>
        <v>2</v>
      </c>
      <c r="C20" s="10" t="n">
        <f aca="false">IF(A20&gt;=Parameters!$B$24,1,Parameters!$B$27)</f>
        <v>2</v>
      </c>
      <c r="D20" s="10" t="n">
        <f aca="false">IF(A20&gt;=Parameters!$B$24,99,IF(A20&lt;=Parameters!$B$23,Parameters!$B$28,Parameters!$B$29))</f>
        <v>5</v>
      </c>
      <c r="E20" s="10" t="str">
        <f aca="false">IF(OR(B20&lt;C20,B20&gt;D20),"CHECK","OK")</f>
        <v>OK</v>
      </c>
      <c r="F20" s="10" t="str">
        <f aca="false">IF(A20&gt;=Parameters!$B$24,"Finale",IF(A20&lt;=Parameters!$B$22,"Early",IF(A20&lt;=Parameters!$B$23,"Mid","Late")))</f>
        <v>Early</v>
      </c>
      <c r="G20" s="10" t="s">
        <v>299</v>
      </c>
      <c r="H20" s="3" t="n">
        <f aca="false">IF(A20&lt;Parameters!$B$24,B20,999)</f>
        <v>2</v>
      </c>
    </row>
    <row r="21" customFormat="false" ht="15" hidden="false" customHeight="false" outlineLevel="0" collapsed="false">
      <c r="A21" s="10" t="n">
        <v>14</v>
      </c>
      <c r="B21" s="10" t="n">
        <f aca="false">COUNTIFS('Switch Graph'!$G$5:$G$67,"&lt;="&amp;A21,'Switch Graph'!$H$5:$H$67,"&gt;="&amp;A21)</f>
        <v>3</v>
      </c>
      <c r="C21" s="10" t="n">
        <f aca="false">IF(A21&gt;=Parameters!$B$24,1,Parameters!$B$27)</f>
        <v>2</v>
      </c>
      <c r="D21" s="10" t="n">
        <f aca="false">IF(A21&gt;=Parameters!$B$24,99,IF(A21&lt;=Parameters!$B$23,Parameters!$B$28,Parameters!$B$29))</f>
        <v>5</v>
      </c>
      <c r="E21" s="10" t="str">
        <f aca="false">IF(OR(B21&lt;C21,B21&gt;D21),"CHECK","OK")</f>
        <v>OK</v>
      </c>
      <c r="F21" s="10" t="str">
        <f aca="false">IF(A21&gt;=Parameters!$B$24,"Finale",IF(A21&lt;=Parameters!$B$22,"Early",IF(A21&lt;=Parameters!$B$23,"Mid","Late")))</f>
        <v>Early</v>
      </c>
      <c r="G21" s="10" t="s">
        <v>300</v>
      </c>
      <c r="H21" s="3" t="n">
        <f aca="false">IF(A21&lt;Parameters!$B$24,B21,999)</f>
        <v>3</v>
      </c>
    </row>
    <row r="22" customFormat="false" ht="15" hidden="false" customHeight="false" outlineLevel="0" collapsed="false">
      <c r="A22" s="10" t="n">
        <v>15</v>
      </c>
      <c r="B22" s="10" t="n">
        <f aca="false">COUNTIFS('Switch Graph'!$G$5:$G$67,"&lt;="&amp;A22,'Switch Graph'!$H$5:$H$67,"&gt;="&amp;A22)</f>
        <v>4</v>
      </c>
      <c r="C22" s="10" t="n">
        <f aca="false">IF(A22&gt;=Parameters!$B$24,1,Parameters!$B$27)</f>
        <v>2</v>
      </c>
      <c r="D22" s="10" t="n">
        <f aca="false">IF(A22&gt;=Parameters!$B$24,99,IF(A22&lt;=Parameters!$B$23,Parameters!$B$28,Parameters!$B$29))</f>
        <v>5</v>
      </c>
      <c r="E22" s="10" t="str">
        <f aca="false">IF(OR(B22&lt;C22,B22&gt;D22),"CHECK","OK")</f>
        <v>OK</v>
      </c>
      <c r="F22" s="10" t="str">
        <f aca="false">IF(A22&gt;=Parameters!$B$24,"Finale",IF(A22&lt;=Parameters!$B$22,"Early",IF(A22&lt;=Parameters!$B$23,"Mid","Late")))</f>
        <v>Early</v>
      </c>
      <c r="G22" s="10" t="s">
        <v>301</v>
      </c>
      <c r="H22" s="3" t="n">
        <f aca="false">IF(A22&lt;Parameters!$B$24,B22,999)</f>
        <v>4</v>
      </c>
    </row>
    <row r="23" customFormat="false" ht="15" hidden="false" customHeight="false" outlineLevel="0" collapsed="false">
      <c r="A23" s="10" t="n">
        <v>16</v>
      </c>
      <c r="B23" s="10" t="n">
        <f aca="false">COUNTIFS('Switch Graph'!$G$5:$G$67,"&lt;="&amp;A23,'Switch Graph'!$H$5:$H$67,"&gt;="&amp;A23)</f>
        <v>4</v>
      </c>
      <c r="C23" s="10" t="n">
        <f aca="false">IF(A23&gt;=Parameters!$B$24,1,Parameters!$B$27)</f>
        <v>2</v>
      </c>
      <c r="D23" s="10" t="n">
        <f aca="false">IF(A23&gt;=Parameters!$B$24,99,IF(A23&lt;=Parameters!$B$23,Parameters!$B$28,Parameters!$B$29))</f>
        <v>5</v>
      </c>
      <c r="E23" s="10" t="str">
        <f aca="false">IF(OR(B23&lt;C23,B23&gt;D23),"CHECK","OK")</f>
        <v>OK</v>
      </c>
      <c r="F23" s="10" t="str">
        <f aca="false">IF(A23&gt;=Parameters!$B$24,"Finale",IF(A23&lt;=Parameters!$B$22,"Early",IF(A23&lt;=Parameters!$B$23,"Mid","Late")))</f>
        <v>Early</v>
      </c>
      <c r="G23" s="10" t="s">
        <v>302</v>
      </c>
      <c r="H23" s="3" t="n">
        <f aca="false">IF(A23&lt;Parameters!$B$24,B23,999)</f>
        <v>4</v>
      </c>
    </row>
    <row r="24" customFormat="false" ht="15" hidden="false" customHeight="false" outlineLevel="0" collapsed="false">
      <c r="A24" s="10" t="n">
        <v>17</v>
      </c>
      <c r="B24" s="10" t="n">
        <f aca="false">COUNTIFS('Switch Graph'!$G$5:$G$67,"&lt;="&amp;A24,'Switch Graph'!$H$5:$H$67,"&gt;="&amp;A24)</f>
        <v>3</v>
      </c>
      <c r="C24" s="10" t="n">
        <f aca="false">IF(A24&gt;=Parameters!$B$24,1,Parameters!$B$27)</f>
        <v>2</v>
      </c>
      <c r="D24" s="10" t="n">
        <f aca="false">IF(A24&gt;=Parameters!$B$24,99,IF(A24&lt;=Parameters!$B$23,Parameters!$B$28,Parameters!$B$29))</f>
        <v>5</v>
      </c>
      <c r="E24" s="10" t="str">
        <f aca="false">IF(OR(B24&lt;C24,B24&gt;D24),"CHECK","OK")</f>
        <v>OK</v>
      </c>
      <c r="F24" s="10" t="str">
        <f aca="false">IF(A24&gt;=Parameters!$B$24,"Finale",IF(A24&lt;=Parameters!$B$22,"Early",IF(A24&lt;=Parameters!$B$23,"Mid","Late")))</f>
        <v>Early</v>
      </c>
      <c r="G24" s="10" t="s">
        <v>303</v>
      </c>
      <c r="H24" s="3" t="n">
        <f aca="false">IF(A24&lt;Parameters!$B$24,B24,999)</f>
        <v>3</v>
      </c>
    </row>
    <row r="25" customFormat="false" ht="15" hidden="false" customHeight="false" outlineLevel="0" collapsed="false">
      <c r="A25" s="10" t="n">
        <v>18</v>
      </c>
      <c r="B25" s="10" t="n">
        <f aca="false">COUNTIFS('Switch Graph'!$G$5:$G$67,"&lt;="&amp;A25,'Switch Graph'!$H$5:$H$67,"&gt;="&amp;A25)</f>
        <v>4</v>
      </c>
      <c r="C25" s="10" t="n">
        <f aca="false">IF(A25&gt;=Parameters!$B$24,1,Parameters!$B$27)</f>
        <v>2</v>
      </c>
      <c r="D25" s="10" t="n">
        <f aca="false">IF(A25&gt;=Parameters!$B$24,99,IF(A25&lt;=Parameters!$B$23,Parameters!$B$28,Parameters!$B$29))</f>
        <v>5</v>
      </c>
      <c r="E25" s="10" t="str">
        <f aca="false">IF(OR(B25&lt;C25,B25&gt;D25),"CHECK","OK")</f>
        <v>OK</v>
      </c>
      <c r="F25" s="10" t="str">
        <f aca="false">IF(A25&gt;=Parameters!$B$24,"Finale",IF(A25&lt;=Parameters!$B$22,"Early",IF(A25&lt;=Parameters!$B$23,"Mid","Late")))</f>
        <v>Early</v>
      </c>
      <c r="G25" s="10" t="s">
        <v>304</v>
      </c>
      <c r="H25" s="3" t="n">
        <f aca="false">IF(A25&lt;Parameters!$B$24,B25,999)</f>
        <v>4</v>
      </c>
    </row>
    <row r="26" customFormat="false" ht="15" hidden="false" customHeight="false" outlineLevel="0" collapsed="false">
      <c r="A26" s="10" t="n">
        <v>19</v>
      </c>
      <c r="B26" s="10" t="n">
        <f aca="false">COUNTIFS('Switch Graph'!$G$5:$G$67,"&lt;="&amp;A26,'Switch Graph'!$H$5:$H$67,"&gt;="&amp;A26)</f>
        <v>3</v>
      </c>
      <c r="C26" s="10" t="n">
        <f aca="false">IF(A26&gt;=Parameters!$B$24,1,Parameters!$B$27)</f>
        <v>2</v>
      </c>
      <c r="D26" s="10" t="n">
        <f aca="false">IF(A26&gt;=Parameters!$B$24,99,IF(A26&lt;=Parameters!$B$23,Parameters!$B$28,Parameters!$B$29))</f>
        <v>5</v>
      </c>
      <c r="E26" s="10" t="str">
        <f aca="false">IF(OR(B26&lt;C26,B26&gt;D26),"CHECK","OK")</f>
        <v>OK</v>
      </c>
      <c r="F26" s="10" t="str">
        <f aca="false">IF(A26&gt;=Parameters!$B$24,"Finale",IF(A26&lt;=Parameters!$B$22,"Early",IF(A26&lt;=Parameters!$B$23,"Mid","Late")))</f>
        <v>Early</v>
      </c>
      <c r="G26" s="10" t="s">
        <v>305</v>
      </c>
      <c r="H26" s="3" t="n">
        <f aca="false">IF(A26&lt;Parameters!$B$24,B26,999)</f>
        <v>3</v>
      </c>
    </row>
    <row r="27" customFormat="false" ht="15" hidden="false" customHeight="false" outlineLevel="0" collapsed="false">
      <c r="A27" s="10" t="n">
        <v>20</v>
      </c>
      <c r="B27" s="10" t="n">
        <f aca="false">COUNTIFS('Switch Graph'!$G$5:$G$67,"&lt;="&amp;A27,'Switch Graph'!$H$5:$H$67,"&gt;="&amp;A27)</f>
        <v>4</v>
      </c>
      <c r="C27" s="10" t="n">
        <f aca="false">IF(A27&gt;=Parameters!$B$24,1,Parameters!$B$27)</f>
        <v>2</v>
      </c>
      <c r="D27" s="10" t="n">
        <f aca="false">IF(A27&gt;=Parameters!$B$24,99,IF(A27&lt;=Parameters!$B$23,Parameters!$B$28,Parameters!$B$29))</f>
        <v>5</v>
      </c>
      <c r="E27" s="10" t="str">
        <f aca="false">IF(OR(B27&lt;C27,B27&gt;D27),"CHECK","OK")</f>
        <v>OK</v>
      </c>
      <c r="F27" s="10" t="str">
        <f aca="false">IF(A27&gt;=Parameters!$B$24,"Finale",IF(A27&lt;=Parameters!$B$22,"Early",IF(A27&lt;=Parameters!$B$23,"Mid","Late")))</f>
        <v>Early</v>
      </c>
      <c r="G27" s="10" t="s">
        <v>306</v>
      </c>
      <c r="H27" s="3" t="n">
        <f aca="false">IF(A27&lt;Parameters!$B$24,B27,999)</f>
        <v>4</v>
      </c>
    </row>
    <row r="28" customFormat="false" ht="15" hidden="false" customHeight="false" outlineLevel="0" collapsed="false">
      <c r="A28" s="10" t="n">
        <v>21</v>
      </c>
      <c r="B28" s="10" t="n">
        <f aca="false">COUNTIFS('Switch Graph'!$G$5:$G$67,"&lt;="&amp;A28,'Switch Graph'!$H$5:$H$67,"&gt;="&amp;A28)</f>
        <v>3</v>
      </c>
      <c r="C28" s="10" t="n">
        <f aca="false">IF(A28&gt;=Parameters!$B$24,1,Parameters!$B$27)</f>
        <v>2</v>
      </c>
      <c r="D28" s="10" t="n">
        <f aca="false">IF(A28&gt;=Parameters!$B$24,99,IF(A28&lt;=Parameters!$B$23,Parameters!$B$28,Parameters!$B$29))</f>
        <v>5</v>
      </c>
      <c r="E28" s="10" t="str">
        <f aca="false">IF(OR(B28&lt;C28,B28&gt;D28),"CHECK","OK")</f>
        <v>OK</v>
      </c>
      <c r="F28" s="10" t="str">
        <f aca="false">IF(A28&gt;=Parameters!$B$24,"Finale",IF(A28&lt;=Parameters!$B$22,"Early",IF(A28&lt;=Parameters!$B$23,"Mid","Late")))</f>
        <v>Mid</v>
      </c>
      <c r="G28" s="10" t="s">
        <v>307</v>
      </c>
      <c r="H28" s="3" t="n">
        <f aca="false">IF(A28&lt;Parameters!$B$24,B28,999)</f>
        <v>3</v>
      </c>
    </row>
    <row r="29" customFormat="false" ht="15" hidden="false" customHeight="false" outlineLevel="0" collapsed="false">
      <c r="A29" s="10" t="n">
        <v>22</v>
      </c>
      <c r="B29" s="10" t="n">
        <f aca="false">COUNTIFS('Switch Graph'!$G$5:$G$67,"&lt;="&amp;A29,'Switch Graph'!$H$5:$H$67,"&gt;="&amp;A29)</f>
        <v>4</v>
      </c>
      <c r="C29" s="10" t="n">
        <f aca="false">IF(A29&gt;=Parameters!$B$24,1,Parameters!$B$27)</f>
        <v>2</v>
      </c>
      <c r="D29" s="10" t="n">
        <f aca="false">IF(A29&gt;=Parameters!$B$24,99,IF(A29&lt;=Parameters!$B$23,Parameters!$B$28,Parameters!$B$29))</f>
        <v>5</v>
      </c>
      <c r="E29" s="10" t="str">
        <f aca="false">IF(OR(B29&lt;C29,B29&gt;D29),"CHECK","OK")</f>
        <v>OK</v>
      </c>
      <c r="F29" s="10" t="str">
        <f aca="false">IF(A29&gt;=Parameters!$B$24,"Finale",IF(A29&lt;=Parameters!$B$22,"Early",IF(A29&lt;=Parameters!$B$23,"Mid","Late")))</f>
        <v>Mid</v>
      </c>
      <c r="G29" s="10" t="s">
        <v>308</v>
      </c>
      <c r="H29" s="3" t="n">
        <f aca="false">IF(A29&lt;Parameters!$B$24,B29,999)</f>
        <v>4</v>
      </c>
    </row>
    <row r="30" customFormat="false" ht="15" hidden="false" customHeight="false" outlineLevel="0" collapsed="false">
      <c r="A30" s="10" t="n">
        <v>23</v>
      </c>
      <c r="B30" s="10" t="n">
        <f aca="false">COUNTIFS('Switch Graph'!$G$5:$G$67,"&lt;="&amp;A30,'Switch Graph'!$H$5:$H$67,"&gt;="&amp;A30)</f>
        <v>4</v>
      </c>
      <c r="C30" s="10" t="n">
        <f aca="false">IF(A30&gt;=Parameters!$B$24,1,Parameters!$B$27)</f>
        <v>2</v>
      </c>
      <c r="D30" s="10" t="n">
        <f aca="false">IF(A30&gt;=Parameters!$B$24,99,IF(A30&lt;=Parameters!$B$23,Parameters!$B$28,Parameters!$B$29))</f>
        <v>5</v>
      </c>
      <c r="E30" s="10" t="str">
        <f aca="false">IF(OR(B30&lt;C30,B30&gt;D30),"CHECK","OK")</f>
        <v>OK</v>
      </c>
      <c r="F30" s="10" t="str">
        <f aca="false">IF(A30&gt;=Parameters!$B$24,"Finale",IF(A30&lt;=Parameters!$B$22,"Early",IF(A30&lt;=Parameters!$B$23,"Mid","Late")))</f>
        <v>Mid</v>
      </c>
      <c r="G30" s="10" t="s">
        <v>309</v>
      </c>
      <c r="H30" s="3" t="n">
        <f aca="false">IF(A30&lt;Parameters!$B$24,B30,999)</f>
        <v>4</v>
      </c>
    </row>
    <row r="31" customFormat="false" ht="15" hidden="false" customHeight="false" outlineLevel="0" collapsed="false">
      <c r="A31" s="10" t="n">
        <v>24</v>
      </c>
      <c r="B31" s="10" t="n">
        <f aca="false">COUNTIFS('Switch Graph'!$G$5:$G$67,"&lt;="&amp;A31,'Switch Graph'!$H$5:$H$67,"&gt;="&amp;A31)</f>
        <v>3</v>
      </c>
      <c r="C31" s="10" t="n">
        <f aca="false">IF(A31&gt;=Parameters!$B$24,1,Parameters!$B$27)</f>
        <v>2</v>
      </c>
      <c r="D31" s="10" t="n">
        <f aca="false">IF(A31&gt;=Parameters!$B$24,99,IF(A31&lt;=Parameters!$B$23,Parameters!$B$28,Parameters!$B$29))</f>
        <v>5</v>
      </c>
      <c r="E31" s="10" t="str">
        <f aca="false">IF(OR(B31&lt;C31,B31&gt;D31),"CHECK","OK")</f>
        <v>OK</v>
      </c>
      <c r="F31" s="10" t="str">
        <f aca="false">IF(A31&gt;=Parameters!$B$24,"Finale",IF(A31&lt;=Parameters!$B$22,"Early",IF(A31&lt;=Parameters!$B$23,"Mid","Late")))</f>
        <v>Mid</v>
      </c>
      <c r="G31" s="10" t="s">
        <v>310</v>
      </c>
      <c r="H31" s="3" t="n">
        <f aca="false">IF(A31&lt;Parameters!$B$24,B31,999)</f>
        <v>3</v>
      </c>
    </row>
    <row r="32" customFormat="false" ht="15" hidden="false" customHeight="false" outlineLevel="0" collapsed="false">
      <c r="A32" s="10" t="n">
        <v>25</v>
      </c>
      <c r="B32" s="10" t="n">
        <f aca="false">COUNTIFS('Switch Graph'!$G$5:$G$67,"&lt;="&amp;A32,'Switch Graph'!$H$5:$H$67,"&gt;="&amp;A32)</f>
        <v>4</v>
      </c>
      <c r="C32" s="10" t="n">
        <f aca="false">IF(A32&gt;=Parameters!$B$24,1,Parameters!$B$27)</f>
        <v>2</v>
      </c>
      <c r="D32" s="10" t="n">
        <f aca="false">IF(A32&gt;=Parameters!$B$24,99,IF(A32&lt;=Parameters!$B$23,Parameters!$B$28,Parameters!$B$29))</f>
        <v>5</v>
      </c>
      <c r="E32" s="10" t="str">
        <f aca="false">IF(OR(B32&lt;C32,B32&gt;D32),"CHECK","OK")</f>
        <v>OK</v>
      </c>
      <c r="F32" s="10" t="str">
        <f aca="false">IF(A32&gt;=Parameters!$B$24,"Finale",IF(A32&lt;=Parameters!$B$22,"Early",IF(A32&lt;=Parameters!$B$23,"Mid","Late")))</f>
        <v>Mid</v>
      </c>
      <c r="G32" s="10" t="s">
        <v>311</v>
      </c>
      <c r="H32" s="3" t="n">
        <f aca="false">IF(A32&lt;Parameters!$B$24,B32,999)</f>
        <v>4</v>
      </c>
    </row>
    <row r="33" customFormat="false" ht="15" hidden="false" customHeight="false" outlineLevel="0" collapsed="false">
      <c r="A33" s="10" t="n">
        <v>26</v>
      </c>
      <c r="B33" s="10" t="n">
        <f aca="false">COUNTIFS('Switch Graph'!$G$5:$G$67,"&lt;="&amp;A33,'Switch Graph'!$H$5:$H$67,"&gt;="&amp;A33)</f>
        <v>3</v>
      </c>
      <c r="C33" s="10" t="n">
        <f aca="false">IF(A33&gt;=Parameters!$B$24,1,Parameters!$B$27)</f>
        <v>2</v>
      </c>
      <c r="D33" s="10" t="n">
        <f aca="false">IF(A33&gt;=Parameters!$B$24,99,IF(A33&lt;=Parameters!$B$23,Parameters!$B$28,Parameters!$B$29))</f>
        <v>5</v>
      </c>
      <c r="E33" s="10" t="str">
        <f aca="false">IF(OR(B33&lt;C33,B33&gt;D33),"CHECK","OK")</f>
        <v>OK</v>
      </c>
      <c r="F33" s="10" t="str">
        <f aca="false">IF(A33&gt;=Parameters!$B$24,"Finale",IF(A33&lt;=Parameters!$B$22,"Early",IF(A33&lt;=Parameters!$B$23,"Mid","Late")))</f>
        <v>Mid</v>
      </c>
      <c r="G33" s="10" t="s">
        <v>312</v>
      </c>
      <c r="H33" s="3" t="n">
        <f aca="false">IF(A33&lt;Parameters!$B$24,B33,999)</f>
        <v>3</v>
      </c>
    </row>
    <row r="34" customFormat="false" ht="15" hidden="false" customHeight="false" outlineLevel="0" collapsed="false">
      <c r="A34" s="10" t="n">
        <v>27</v>
      </c>
      <c r="B34" s="10" t="n">
        <f aca="false">COUNTIFS('Switch Graph'!$G$5:$G$67,"&lt;="&amp;A34,'Switch Graph'!$H$5:$H$67,"&gt;="&amp;A34)</f>
        <v>5</v>
      </c>
      <c r="C34" s="10" t="n">
        <f aca="false">IF(A34&gt;=Parameters!$B$24,1,Parameters!$B$27)</f>
        <v>2</v>
      </c>
      <c r="D34" s="10" t="n">
        <f aca="false">IF(A34&gt;=Parameters!$B$24,99,IF(A34&lt;=Parameters!$B$23,Parameters!$B$28,Parameters!$B$29))</f>
        <v>5</v>
      </c>
      <c r="E34" s="10" t="str">
        <f aca="false">IF(OR(B34&lt;C34,B34&gt;D34),"CHECK","OK")</f>
        <v>OK</v>
      </c>
      <c r="F34" s="10" t="str">
        <f aca="false">IF(A34&gt;=Parameters!$B$24,"Finale",IF(A34&lt;=Parameters!$B$22,"Early",IF(A34&lt;=Parameters!$B$23,"Mid","Late")))</f>
        <v>Mid</v>
      </c>
      <c r="G34" s="10" t="s">
        <v>313</v>
      </c>
      <c r="H34" s="3" t="n">
        <f aca="false">IF(A34&lt;Parameters!$B$24,B34,999)</f>
        <v>5</v>
      </c>
    </row>
    <row r="35" customFormat="false" ht="15" hidden="false" customHeight="false" outlineLevel="0" collapsed="false">
      <c r="A35" s="10" t="n">
        <v>28</v>
      </c>
      <c r="B35" s="10" t="n">
        <f aca="false">COUNTIFS('Switch Graph'!$G$5:$G$67,"&lt;="&amp;A35,'Switch Graph'!$H$5:$H$67,"&gt;="&amp;A35)</f>
        <v>4</v>
      </c>
      <c r="C35" s="10" t="n">
        <f aca="false">IF(A35&gt;=Parameters!$B$24,1,Parameters!$B$27)</f>
        <v>2</v>
      </c>
      <c r="D35" s="10" t="n">
        <f aca="false">IF(A35&gt;=Parameters!$B$24,99,IF(A35&lt;=Parameters!$B$23,Parameters!$B$28,Parameters!$B$29))</f>
        <v>5</v>
      </c>
      <c r="E35" s="10" t="str">
        <f aca="false">IF(OR(B35&lt;C35,B35&gt;D35),"CHECK","OK")</f>
        <v>OK</v>
      </c>
      <c r="F35" s="10" t="str">
        <f aca="false">IF(A35&gt;=Parameters!$B$24,"Finale",IF(A35&lt;=Parameters!$B$22,"Early",IF(A35&lt;=Parameters!$B$23,"Mid","Late")))</f>
        <v>Mid</v>
      </c>
      <c r="G35" s="10" t="s">
        <v>314</v>
      </c>
      <c r="H35" s="3" t="n">
        <f aca="false">IF(A35&lt;Parameters!$B$24,B35,999)</f>
        <v>4</v>
      </c>
    </row>
    <row r="36" customFormat="false" ht="15" hidden="false" customHeight="false" outlineLevel="0" collapsed="false">
      <c r="A36" s="10" t="n">
        <v>29</v>
      </c>
      <c r="B36" s="10" t="n">
        <f aca="false">COUNTIFS('Switch Graph'!$G$5:$G$67,"&lt;="&amp;A36,'Switch Graph'!$H$5:$H$67,"&gt;="&amp;A36)</f>
        <v>5</v>
      </c>
      <c r="C36" s="10" t="n">
        <f aca="false">IF(A36&gt;=Parameters!$B$24,1,Parameters!$B$27)</f>
        <v>2</v>
      </c>
      <c r="D36" s="10" t="n">
        <f aca="false">IF(A36&gt;=Parameters!$B$24,99,IF(A36&lt;=Parameters!$B$23,Parameters!$B$28,Parameters!$B$29))</f>
        <v>5</v>
      </c>
      <c r="E36" s="10" t="str">
        <f aca="false">IF(OR(B36&lt;C36,B36&gt;D36),"CHECK","OK")</f>
        <v>OK</v>
      </c>
      <c r="F36" s="10" t="str">
        <f aca="false">IF(A36&gt;=Parameters!$B$24,"Finale",IF(A36&lt;=Parameters!$B$22,"Early",IF(A36&lt;=Parameters!$B$23,"Mid","Late")))</f>
        <v>Mid</v>
      </c>
      <c r="G36" s="10" t="s">
        <v>315</v>
      </c>
      <c r="H36" s="3" t="n">
        <f aca="false">IF(A36&lt;Parameters!$B$24,B36,999)</f>
        <v>5</v>
      </c>
    </row>
    <row r="37" customFormat="false" ht="15" hidden="false" customHeight="false" outlineLevel="0" collapsed="false">
      <c r="A37" s="10" t="n">
        <v>30</v>
      </c>
      <c r="B37" s="10" t="n">
        <f aca="false">COUNTIFS('Switch Graph'!$G$5:$G$67,"&lt;="&amp;A37,'Switch Graph'!$H$5:$H$67,"&gt;="&amp;A37)</f>
        <v>5</v>
      </c>
      <c r="C37" s="10" t="n">
        <f aca="false">IF(A37&gt;=Parameters!$B$24,1,Parameters!$B$27)</f>
        <v>2</v>
      </c>
      <c r="D37" s="10" t="n">
        <f aca="false">IF(A37&gt;=Parameters!$B$24,99,IF(A37&lt;=Parameters!$B$23,Parameters!$B$28,Parameters!$B$29))</f>
        <v>5</v>
      </c>
      <c r="E37" s="10" t="str">
        <f aca="false">IF(OR(B37&lt;C37,B37&gt;D37),"CHECK","OK")</f>
        <v>OK</v>
      </c>
      <c r="F37" s="10" t="str">
        <f aca="false">IF(A37&gt;=Parameters!$B$24,"Finale",IF(A37&lt;=Parameters!$B$22,"Early",IF(A37&lt;=Parameters!$B$23,"Mid","Late")))</f>
        <v>Mid</v>
      </c>
      <c r="G37" s="10" t="s">
        <v>316</v>
      </c>
      <c r="H37" s="3" t="n">
        <f aca="false">IF(A37&lt;Parameters!$B$24,B37,999)</f>
        <v>5</v>
      </c>
    </row>
    <row r="38" customFormat="false" ht="15" hidden="false" customHeight="false" outlineLevel="0" collapsed="false">
      <c r="A38" s="10" t="n">
        <v>31</v>
      </c>
      <c r="B38" s="10" t="n">
        <f aca="false">COUNTIFS('Switch Graph'!$G$5:$G$67,"&lt;="&amp;A38,'Switch Graph'!$H$5:$H$67,"&gt;="&amp;A38)</f>
        <v>4</v>
      </c>
      <c r="C38" s="10" t="n">
        <f aca="false">IF(A38&gt;=Parameters!$B$24,1,Parameters!$B$27)</f>
        <v>2</v>
      </c>
      <c r="D38" s="10" t="n">
        <f aca="false">IF(A38&gt;=Parameters!$B$24,99,IF(A38&lt;=Parameters!$B$23,Parameters!$B$28,Parameters!$B$29))</f>
        <v>5</v>
      </c>
      <c r="E38" s="10" t="str">
        <f aca="false">IF(OR(B38&lt;C38,B38&gt;D38),"CHECK","OK")</f>
        <v>OK</v>
      </c>
      <c r="F38" s="10" t="str">
        <f aca="false">IF(A38&gt;=Parameters!$B$24,"Finale",IF(A38&lt;=Parameters!$B$22,"Early",IF(A38&lt;=Parameters!$B$23,"Mid","Late")))</f>
        <v>Mid</v>
      </c>
      <c r="G38" s="10" t="s">
        <v>317</v>
      </c>
      <c r="H38" s="3" t="n">
        <f aca="false">IF(A38&lt;Parameters!$B$24,B38,999)</f>
        <v>4</v>
      </c>
    </row>
    <row r="39" customFormat="false" ht="15" hidden="false" customHeight="false" outlineLevel="0" collapsed="false">
      <c r="A39" s="10" t="n">
        <v>32</v>
      </c>
      <c r="B39" s="10" t="n">
        <f aca="false">COUNTIFS('Switch Graph'!$G$5:$G$67,"&lt;="&amp;A39,'Switch Graph'!$H$5:$H$67,"&gt;="&amp;A39)</f>
        <v>5</v>
      </c>
      <c r="C39" s="10" t="n">
        <f aca="false">IF(A39&gt;=Parameters!$B$24,1,Parameters!$B$27)</f>
        <v>2</v>
      </c>
      <c r="D39" s="10" t="n">
        <f aca="false">IF(A39&gt;=Parameters!$B$24,99,IF(A39&lt;=Parameters!$B$23,Parameters!$B$28,Parameters!$B$29))</f>
        <v>5</v>
      </c>
      <c r="E39" s="10" t="str">
        <f aca="false">IF(OR(B39&lt;C39,B39&gt;D39),"CHECK","OK")</f>
        <v>OK</v>
      </c>
      <c r="F39" s="10" t="str">
        <f aca="false">IF(A39&gt;=Parameters!$B$24,"Finale",IF(A39&lt;=Parameters!$B$22,"Early",IF(A39&lt;=Parameters!$B$23,"Mid","Late")))</f>
        <v>Mid</v>
      </c>
      <c r="G39" s="10" t="s">
        <v>318</v>
      </c>
      <c r="H39" s="3" t="n">
        <f aca="false">IF(A39&lt;Parameters!$B$24,B39,999)</f>
        <v>5</v>
      </c>
    </row>
    <row r="40" customFormat="false" ht="15" hidden="false" customHeight="false" outlineLevel="0" collapsed="false">
      <c r="A40" s="10" t="n">
        <v>33</v>
      </c>
      <c r="B40" s="10" t="n">
        <f aca="false">COUNTIFS('Switch Graph'!$G$5:$G$67,"&lt;="&amp;A40,'Switch Graph'!$H$5:$H$67,"&gt;="&amp;A40)</f>
        <v>4</v>
      </c>
      <c r="C40" s="10" t="n">
        <f aca="false">IF(A40&gt;=Parameters!$B$24,1,Parameters!$B$27)</f>
        <v>2</v>
      </c>
      <c r="D40" s="10" t="n">
        <f aca="false">IF(A40&gt;=Parameters!$B$24,99,IF(A40&lt;=Parameters!$B$23,Parameters!$B$28,Parameters!$B$29))</f>
        <v>5</v>
      </c>
      <c r="E40" s="10" t="str">
        <f aca="false">IF(OR(B40&lt;C40,B40&gt;D40),"CHECK","OK")</f>
        <v>OK</v>
      </c>
      <c r="F40" s="10" t="str">
        <f aca="false">IF(A40&gt;=Parameters!$B$24,"Finale",IF(A40&lt;=Parameters!$B$22,"Early",IF(A40&lt;=Parameters!$B$23,"Mid","Late")))</f>
        <v>Mid</v>
      </c>
      <c r="G40" s="10" t="s">
        <v>319</v>
      </c>
      <c r="H40" s="3" t="n">
        <f aca="false">IF(A40&lt;Parameters!$B$24,B40,999)</f>
        <v>4</v>
      </c>
    </row>
    <row r="41" customFormat="false" ht="15" hidden="false" customHeight="false" outlineLevel="0" collapsed="false">
      <c r="A41" s="10" t="n">
        <v>34</v>
      </c>
      <c r="B41" s="10" t="n">
        <f aca="false">COUNTIFS('Switch Graph'!$G$5:$G$67,"&lt;="&amp;A41,'Switch Graph'!$H$5:$H$67,"&gt;="&amp;A41)</f>
        <v>5</v>
      </c>
      <c r="C41" s="10" t="n">
        <f aca="false">IF(A41&gt;=Parameters!$B$24,1,Parameters!$B$27)</f>
        <v>2</v>
      </c>
      <c r="D41" s="10" t="n">
        <f aca="false">IF(A41&gt;=Parameters!$B$24,99,IF(A41&lt;=Parameters!$B$23,Parameters!$B$28,Parameters!$B$29))</f>
        <v>5</v>
      </c>
      <c r="E41" s="10" t="str">
        <f aca="false">IF(OR(B41&lt;C41,B41&gt;D41),"CHECK","OK")</f>
        <v>OK</v>
      </c>
      <c r="F41" s="10" t="str">
        <f aca="false">IF(A41&gt;=Parameters!$B$24,"Finale",IF(A41&lt;=Parameters!$B$22,"Early",IF(A41&lt;=Parameters!$B$23,"Mid","Late")))</f>
        <v>Mid</v>
      </c>
      <c r="G41" s="10" t="s">
        <v>320</v>
      </c>
      <c r="H41" s="3" t="n">
        <f aca="false">IF(A41&lt;Parameters!$B$24,B41,999)</f>
        <v>5</v>
      </c>
    </row>
    <row r="42" customFormat="false" ht="15" hidden="false" customHeight="false" outlineLevel="0" collapsed="false">
      <c r="A42" s="10" t="n">
        <v>35</v>
      </c>
      <c r="B42" s="10" t="n">
        <f aca="false">COUNTIFS('Switch Graph'!$G$5:$G$67,"&lt;="&amp;A42,'Switch Graph'!$H$5:$H$67,"&gt;="&amp;A42)</f>
        <v>4</v>
      </c>
      <c r="C42" s="10" t="n">
        <f aca="false">IF(A42&gt;=Parameters!$B$24,1,Parameters!$B$27)</f>
        <v>2</v>
      </c>
      <c r="D42" s="10" t="n">
        <f aca="false">IF(A42&gt;=Parameters!$B$24,99,IF(A42&lt;=Parameters!$B$23,Parameters!$B$28,Parameters!$B$29))</f>
        <v>5</v>
      </c>
      <c r="E42" s="10" t="str">
        <f aca="false">IF(OR(B42&lt;C42,B42&gt;D42),"CHECK","OK")</f>
        <v>OK</v>
      </c>
      <c r="F42" s="10" t="str">
        <f aca="false">IF(A42&gt;=Parameters!$B$24,"Finale",IF(A42&lt;=Parameters!$B$22,"Early",IF(A42&lt;=Parameters!$B$23,"Mid","Late")))</f>
        <v>Mid</v>
      </c>
      <c r="G42" s="10" t="s">
        <v>321</v>
      </c>
      <c r="H42" s="3" t="n">
        <f aca="false">IF(A42&lt;Parameters!$B$24,B42,999)</f>
        <v>4</v>
      </c>
    </row>
    <row r="43" customFormat="false" ht="15" hidden="false" customHeight="false" outlineLevel="0" collapsed="false">
      <c r="A43" s="10" t="n">
        <v>36</v>
      </c>
      <c r="B43" s="10" t="n">
        <f aca="false">COUNTIFS('Switch Graph'!$G$5:$G$67,"&lt;="&amp;A43,'Switch Graph'!$H$5:$H$67,"&gt;="&amp;A43)</f>
        <v>5</v>
      </c>
      <c r="C43" s="10" t="n">
        <f aca="false">IF(A43&gt;=Parameters!$B$24,1,Parameters!$B$27)</f>
        <v>2</v>
      </c>
      <c r="D43" s="10" t="n">
        <f aca="false">IF(A43&gt;=Parameters!$B$24,99,IF(A43&lt;=Parameters!$B$23,Parameters!$B$28,Parameters!$B$29))</f>
        <v>5</v>
      </c>
      <c r="E43" s="10" t="str">
        <f aca="false">IF(OR(B43&lt;C43,B43&gt;D43),"CHECK","OK")</f>
        <v>OK</v>
      </c>
      <c r="F43" s="10" t="str">
        <f aca="false">IF(A43&gt;=Parameters!$B$24,"Finale",IF(A43&lt;=Parameters!$B$22,"Early",IF(A43&lt;=Parameters!$B$23,"Mid","Late")))</f>
        <v>Mid</v>
      </c>
      <c r="G43" s="10" t="s">
        <v>322</v>
      </c>
      <c r="H43" s="3" t="n">
        <f aca="false">IF(A43&lt;Parameters!$B$24,B43,999)</f>
        <v>5</v>
      </c>
    </row>
    <row r="44" customFormat="false" ht="15" hidden="false" customHeight="false" outlineLevel="0" collapsed="false">
      <c r="A44" s="10" t="n">
        <v>37</v>
      </c>
      <c r="B44" s="10" t="n">
        <f aca="false">COUNTIFS('Switch Graph'!$G$5:$G$67,"&lt;="&amp;A44,'Switch Graph'!$H$5:$H$67,"&gt;="&amp;A44)</f>
        <v>5</v>
      </c>
      <c r="C44" s="10" t="n">
        <f aca="false">IF(A44&gt;=Parameters!$B$24,1,Parameters!$B$27)</f>
        <v>2</v>
      </c>
      <c r="D44" s="10" t="n">
        <f aca="false">IF(A44&gt;=Parameters!$B$24,99,IF(A44&lt;=Parameters!$B$23,Parameters!$B$28,Parameters!$B$29))</f>
        <v>5</v>
      </c>
      <c r="E44" s="10" t="str">
        <f aca="false">IF(OR(B44&lt;C44,B44&gt;D44),"CHECK","OK")</f>
        <v>OK</v>
      </c>
      <c r="F44" s="10" t="str">
        <f aca="false">IF(A44&gt;=Parameters!$B$24,"Finale",IF(A44&lt;=Parameters!$B$22,"Early",IF(A44&lt;=Parameters!$B$23,"Mid","Late")))</f>
        <v>Mid</v>
      </c>
      <c r="G44" s="10" t="s">
        <v>323</v>
      </c>
      <c r="H44" s="3" t="n">
        <f aca="false">IF(A44&lt;Parameters!$B$24,B44,999)</f>
        <v>5</v>
      </c>
    </row>
    <row r="45" customFormat="false" ht="15" hidden="false" customHeight="false" outlineLevel="0" collapsed="false">
      <c r="A45" s="10" t="n">
        <v>38</v>
      </c>
      <c r="B45" s="10" t="n">
        <f aca="false">COUNTIFS('Switch Graph'!$G$5:$G$67,"&lt;="&amp;A45,'Switch Graph'!$H$5:$H$67,"&gt;="&amp;A45)</f>
        <v>4</v>
      </c>
      <c r="C45" s="10" t="n">
        <f aca="false">IF(A45&gt;=Parameters!$B$24,1,Parameters!$B$27)</f>
        <v>2</v>
      </c>
      <c r="D45" s="10" t="n">
        <f aca="false">IF(A45&gt;=Parameters!$B$24,99,IF(A45&lt;=Parameters!$B$23,Parameters!$B$28,Parameters!$B$29))</f>
        <v>5</v>
      </c>
      <c r="E45" s="10" t="str">
        <f aca="false">IF(OR(B45&lt;C45,B45&gt;D45),"CHECK","OK")</f>
        <v>OK</v>
      </c>
      <c r="F45" s="10" t="str">
        <f aca="false">IF(A45&gt;=Parameters!$B$24,"Finale",IF(A45&lt;=Parameters!$B$22,"Early",IF(A45&lt;=Parameters!$B$23,"Mid","Late")))</f>
        <v>Mid</v>
      </c>
      <c r="G45" s="10" t="s">
        <v>324</v>
      </c>
      <c r="H45" s="3" t="n">
        <f aca="false">IF(A45&lt;Parameters!$B$24,B45,999)</f>
        <v>4</v>
      </c>
    </row>
    <row r="46" customFormat="false" ht="15" hidden="false" customHeight="false" outlineLevel="0" collapsed="false">
      <c r="A46" s="10" t="n">
        <v>39</v>
      </c>
      <c r="B46" s="10" t="n">
        <f aca="false">COUNTIFS('Switch Graph'!$G$5:$G$67,"&lt;="&amp;A46,'Switch Graph'!$H$5:$H$67,"&gt;="&amp;A46)</f>
        <v>4</v>
      </c>
      <c r="C46" s="10" t="n">
        <f aca="false">IF(A46&gt;=Parameters!$B$24,1,Parameters!$B$27)</f>
        <v>2</v>
      </c>
      <c r="D46" s="10" t="n">
        <f aca="false">IF(A46&gt;=Parameters!$B$24,99,IF(A46&lt;=Parameters!$B$23,Parameters!$B$28,Parameters!$B$29))</f>
        <v>5</v>
      </c>
      <c r="E46" s="10" t="str">
        <f aca="false">IF(OR(B46&lt;C46,B46&gt;D46),"CHECK","OK")</f>
        <v>OK</v>
      </c>
      <c r="F46" s="10" t="str">
        <f aca="false">IF(A46&gt;=Parameters!$B$24,"Finale",IF(A46&lt;=Parameters!$B$22,"Early",IF(A46&lt;=Parameters!$B$23,"Mid","Late")))</f>
        <v>Mid</v>
      </c>
      <c r="G46" s="10" t="s">
        <v>325</v>
      </c>
      <c r="H46" s="3" t="n">
        <f aca="false">IF(A46&lt;Parameters!$B$24,B46,999)</f>
        <v>4</v>
      </c>
    </row>
    <row r="47" customFormat="false" ht="15" hidden="false" customHeight="false" outlineLevel="0" collapsed="false">
      <c r="A47" s="10" t="n">
        <v>40</v>
      </c>
      <c r="B47" s="10" t="n">
        <f aca="false">COUNTIFS('Switch Graph'!$G$5:$G$67,"&lt;="&amp;A47,'Switch Graph'!$H$5:$H$67,"&gt;="&amp;A47)</f>
        <v>3</v>
      </c>
      <c r="C47" s="10" t="n">
        <f aca="false">IF(A47&gt;=Parameters!$B$24,1,Parameters!$B$27)</f>
        <v>2</v>
      </c>
      <c r="D47" s="10" t="n">
        <f aca="false">IF(A47&gt;=Parameters!$B$24,99,IF(A47&lt;=Parameters!$B$23,Parameters!$B$28,Parameters!$B$29))</f>
        <v>5</v>
      </c>
      <c r="E47" s="10" t="str">
        <f aca="false">IF(OR(B47&lt;C47,B47&gt;D47),"CHECK","OK")</f>
        <v>OK</v>
      </c>
      <c r="F47" s="10" t="str">
        <f aca="false">IF(A47&gt;=Parameters!$B$24,"Finale",IF(A47&lt;=Parameters!$B$22,"Early",IF(A47&lt;=Parameters!$B$23,"Mid","Late")))</f>
        <v>Mid</v>
      </c>
      <c r="G47" s="10" t="s">
        <v>326</v>
      </c>
      <c r="H47" s="3" t="n">
        <f aca="false">IF(A47&lt;Parameters!$B$24,B47,999)</f>
        <v>3</v>
      </c>
    </row>
    <row r="48" customFormat="false" ht="15" hidden="false" customHeight="false" outlineLevel="0" collapsed="false">
      <c r="A48" s="10" t="n">
        <v>41</v>
      </c>
      <c r="B48" s="10" t="n">
        <f aca="false">COUNTIFS('Switch Graph'!$G$5:$G$67,"&lt;="&amp;A48,'Switch Graph'!$H$5:$H$67,"&gt;="&amp;A48)</f>
        <v>4</v>
      </c>
      <c r="C48" s="10" t="n">
        <f aca="false">IF(A48&gt;=Parameters!$B$24,1,Parameters!$B$27)</f>
        <v>2</v>
      </c>
      <c r="D48" s="10" t="n">
        <f aca="false">IF(A48&gt;=Parameters!$B$24,99,IF(A48&lt;=Parameters!$B$23,Parameters!$B$28,Parameters!$B$29))</f>
        <v>5</v>
      </c>
      <c r="E48" s="10" t="str">
        <f aca="false">IF(OR(B48&lt;C48,B48&gt;D48),"CHECK","OK")</f>
        <v>OK</v>
      </c>
      <c r="F48" s="10" t="str">
        <f aca="false">IF(A48&gt;=Parameters!$B$24,"Finale",IF(A48&lt;=Parameters!$B$22,"Early",IF(A48&lt;=Parameters!$B$23,"Mid","Late")))</f>
        <v>Mid</v>
      </c>
      <c r="G48" s="10" t="s">
        <v>327</v>
      </c>
      <c r="H48" s="3" t="n">
        <f aca="false">IF(A48&lt;Parameters!$B$24,B48,999)</f>
        <v>4</v>
      </c>
    </row>
    <row r="49" customFormat="false" ht="15" hidden="false" customHeight="false" outlineLevel="0" collapsed="false">
      <c r="A49" s="10" t="n">
        <v>42</v>
      </c>
      <c r="B49" s="10" t="n">
        <f aca="false">COUNTIFS('Switch Graph'!$G$5:$G$67,"&lt;="&amp;A49,'Switch Graph'!$H$5:$H$67,"&gt;="&amp;A49)</f>
        <v>5</v>
      </c>
      <c r="C49" s="10" t="n">
        <f aca="false">IF(A49&gt;=Parameters!$B$24,1,Parameters!$B$27)</f>
        <v>2</v>
      </c>
      <c r="D49" s="10" t="n">
        <f aca="false">IF(A49&gt;=Parameters!$B$24,99,IF(A49&lt;=Parameters!$B$23,Parameters!$B$28,Parameters!$B$29))</f>
        <v>5</v>
      </c>
      <c r="E49" s="10" t="str">
        <f aca="false">IF(OR(B49&lt;C49,B49&gt;D49),"CHECK","OK")</f>
        <v>OK</v>
      </c>
      <c r="F49" s="10" t="str">
        <f aca="false">IF(A49&gt;=Parameters!$B$24,"Finale",IF(A49&lt;=Parameters!$B$22,"Early",IF(A49&lt;=Parameters!$B$23,"Mid","Late")))</f>
        <v>Mid</v>
      </c>
      <c r="G49" s="10" t="s">
        <v>328</v>
      </c>
      <c r="H49" s="3" t="n">
        <f aca="false">IF(A49&lt;Parameters!$B$24,B49,999)</f>
        <v>5</v>
      </c>
    </row>
    <row r="50" customFormat="false" ht="15" hidden="false" customHeight="false" outlineLevel="0" collapsed="false">
      <c r="A50" s="10" t="n">
        <v>43</v>
      </c>
      <c r="B50" s="10" t="n">
        <f aca="false">COUNTIFS('Switch Graph'!$G$5:$G$67,"&lt;="&amp;A50,'Switch Graph'!$H$5:$H$67,"&gt;="&amp;A50)</f>
        <v>4</v>
      </c>
      <c r="C50" s="10" t="n">
        <f aca="false">IF(A50&gt;=Parameters!$B$24,1,Parameters!$B$27)</f>
        <v>2</v>
      </c>
      <c r="D50" s="10" t="n">
        <f aca="false">IF(A50&gt;=Parameters!$B$24,99,IF(A50&lt;=Parameters!$B$23,Parameters!$B$28,Parameters!$B$29))</f>
        <v>5</v>
      </c>
      <c r="E50" s="10" t="str">
        <f aca="false">IF(OR(B50&lt;C50,B50&gt;D50),"CHECK","OK")</f>
        <v>OK</v>
      </c>
      <c r="F50" s="10" t="str">
        <f aca="false">IF(A50&gt;=Parameters!$B$24,"Finale",IF(A50&lt;=Parameters!$B$22,"Early",IF(A50&lt;=Parameters!$B$23,"Mid","Late")))</f>
        <v>Mid</v>
      </c>
      <c r="G50" s="10" t="s">
        <v>329</v>
      </c>
      <c r="H50" s="3" t="n">
        <f aca="false">IF(A50&lt;Parameters!$B$24,B50,999)</f>
        <v>4</v>
      </c>
    </row>
    <row r="51" customFormat="false" ht="15" hidden="false" customHeight="false" outlineLevel="0" collapsed="false">
      <c r="A51" s="10" t="n">
        <v>44</v>
      </c>
      <c r="B51" s="10" t="n">
        <f aca="false">COUNTIFS('Switch Graph'!$G$5:$G$67,"&lt;="&amp;A51,'Switch Graph'!$H$5:$H$67,"&gt;="&amp;A51)</f>
        <v>4</v>
      </c>
      <c r="C51" s="10" t="n">
        <f aca="false">IF(A51&gt;=Parameters!$B$24,1,Parameters!$B$27)</f>
        <v>2</v>
      </c>
      <c r="D51" s="10" t="n">
        <f aca="false">IF(A51&gt;=Parameters!$B$24,99,IF(A51&lt;=Parameters!$B$23,Parameters!$B$28,Parameters!$B$29))</f>
        <v>5</v>
      </c>
      <c r="E51" s="10" t="str">
        <f aca="false">IF(OR(B51&lt;C51,B51&gt;D51),"CHECK","OK")</f>
        <v>OK</v>
      </c>
      <c r="F51" s="10" t="str">
        <f aca="false">IF(A51&gt;=Parameters!$B$24,"Finale",IF(A51&lt;=Parameters!$B$22,"Early",IF(A51&lt;=Parameters!$B$23,"Mid","Late")))</f>
        <v>Mid</v>
      </c>
      <c r="G51" s="10" t="s">
        <v>330</v>
      </c>
      <c r="H51" s="3" t="n">
        <f aca="false">IF(A51&lt;Parameters!$B$24,B51,999)</f>
        <v>4</v>
      </c>
    </row>
    <row r="52" customFormat="false" ht="15" hidden="false" customHeight="false" outlineLevel="0" collapsed="false">
      <c r="A52" s="10" t="n">
        <v>45</v>
      </c>
      <c r="B52" s="10" t="n">
        <f aca="false">COUNTIFS('Switch Graph'!$G$5:$G$67,"&lt;="&amp;A52,'Switch Graph'!$H$5:$H$67,"&gt;="&amp;A52)</f>
        <v>4</v>
      </c>
      <c r="C52" s="10" t="n">
        <f aca="false">IF(A52&gt;=Parameters!$B$24,1,Parameters!$B$27)</f>
        <v>2</v>
      </c>
      <c r="D52" s="10" t="n">
        <f aca="false">IF(A52&gt;=Parameters!$B$24,99,IF(A52&lt;=Parameters!$B$23,Parameters!$B$28,Parameters!$B$29))</f>
        <v>5</v>
      </c>
      <c r="E52" s="10" t="str">
        <f aca="false">IF(OR(B52&lt;C52,B52&gt;D52),"CHECK","OK")</f>
        <v>OK</v>
      </c>
      <c r="F52" s="10" t="str">
        <f aca="false">IF(A52&gt;=Parameters!$B$24,"Finale",IF(A52&lt;=Parameters!$B$22,"Early",IF(A52&lt;=Parameters!$B$23,"Mid","Late")))</f>
        <v>Mid</v>
      </c>
      <c r="G52" s="10" t="s">
        <v>331</v>
      </c>
      <c r="H52" s="3" t="n">
        <f aca="false">IF(A52&lt;Parameters!$B$24,B52,999)</f>
        <v>4</v>
      </c>
    </row>
    <row r="53" customFormat="false" ht="15" hidden="false" customHeight="false" outlineLevel="0" collapsed="false">
      <c r="A53" s="10" t="n">
        <v>46</v>
      </c>
      <c r="B53" s="10" t="n">
        <f aca="false">COUNTIFS('Switch Graph'!$G$5:$G$67,"&lt;="&amp;A53,'Switch Graph'!$H$5:$H$67,"&gt;="&amp;A53)</f>
        <v>5</v>
      </c>
      <c r="C53" s="10" t="n">
        <f aca="false">IF(A53&gt;=Parameters!$B$24,1,Parameters!$B$27)</f>
        <v>2</v>
      </c>
      <c r="D53" s="10" t="n">
        <f aca="false">IF(A53&gt;=Parameters!$B$24,99,IF(A53&lt;=Parameters!$B$23,Parameters!$B$28,Parameters!$B$29))</f>
        <v>8</v>
      </c>
      <c r="E53" s="10" t="str">
        <f aca="false">IF(OR(B53&lt;C53,B53&gt;D53),"CHECK","OK")</f>
        <v>OK</v>
      </c>
      <c r="F53" s="10" t="str">
        <f aca="false">IF(A53&gt;=Parameters!$B$24,"Finale",IF(A53&lt;=Parameters!$B$22,"Early",IF(A53&lt;=Parameters!$B$23,"Mid","Late")))</f>
        <v>Late</v>
      </c>
      <c r="G53" s="10" t="s">
        <v>332</v>
      </c>
      <c r="H53" s="3" t="n">
        <f aca="false">IF(A53&lt;Parameters!$B$24,B53,999)</f>
        <v>5</v>
      </c>
    </row>
    <row r="54" customFormat="false" ht="15" hidden="false" customHeight="false" outlineLevel="0" collapsed="false">
      <c r="A54" s="10" t="n">
        <v>47</v>
      </c>
      <c r="B54" s="10" t="n">
        <f aca="false">COUNTIFS('Switch Graph'!$G$5:$G$67,"&lt;="&amp;A54,'Switch Graph'!$H$5:$H$67,"&gt;="&amp;A54)</f>
        <v>4</v>
      </c>
      <c r="C54" s="10" t="n">
        <f aca="false">IF(A54&gt;=Parameters!$B$24,1,Parameters!$B$27)</f>
        <v>2</v>
      </c>
      <c r="D54" s="10" t="n">
        <f aca="false">IF(A54&gt;=Parameters!$B$24,99,IF(A54&lt;=Parameters!$B$23,Parameters!$B$28,Parameters!$B$29))</f>
        <v>8</v>
      </c>
      <c r="E54" s="10" t="str">
        <f aca="false">IF(OR(B54&lt;C54,B54&gt;D54),"CHECK","OK")</f>
        <v>OK</v>
      </c>
      <c r="F54" s="10" t="str">
        <f aca="false">IF(A54&gt;=Parameters!$B$24,"Finale",IF(A54&lt;=Parameters!$B$22,"Early",IF(A54&lt;=Parameters!$B$23,"Mid","Late")))</f>
        <v>Late</v>
      </c>
      <c r="G54" s="10" t="s">
        <v>333</v>
      </c>
      <c r="H54" s="3" t="n">
        <f aca="false">IF(A54&lt;Parameters!$B$24,B54,999)</f>
        <v>4</v>
      </c>
    </row>
    <row r="55" customFormat="false" ht="15" hidden="false" customHeight="false" outlineLevel="0" collapsed="false">
      <c r="A55" s="10" t="n">
        <v>48</v>
      </c>
      <c r="B55" s="10" t="n">
        <f aca="false">COUNTIFS('Switch Graph'!$G$5:$G$67,"&lt;="&amp;A55,'Switch Graph'!$H$5:$H$67,"&gt;="&amp;A55)</f>
        <v>4</v>
      </c>
      <c r="C55" s="10" t="n">
        <f aca="false">IF(A55&gt;=Parameters!$B$24,1,Parameters!$B$27)</f>
        <v>2</v>
      </c>
      <c r="D55" s="10" t="n">
        <f aca="false">IF(A55&gt;=Parameters!$B$24,99,IF(A55&lt;=Parameters!$B$23,Parameters!$B$28,Parameters!$B$29))</f>
        <v>8</v>
      </c>
      <c r="E55" s="10" t="str">
        <f aca="false">IF(OR(B55&lt;C55,B55&gt;D55),"CHECK","OK")</f>
        <v>OK</v>
      </c>
      <c r="F55" s="10" t="str">
        <f aca="false">IF(A55&gt;=Parameters!$B$24,"Finale",IF(A55&lt;=Parameters!$B$22,"Early",IF(A55&lt;=Parameters!$B$23,"Mid","Late")))</f>
        <v>Late</v>
      </c>
      <c r="G55" s="10" t="s">
        <v>334</v>
      </c>
      <c r="H55" s="3" t="n">
        <f aca="false">IF(A55&lt;Parameters!$B$24,B55,999)</f>
        <v>4</v>
      </c>
    </row>
    <row r="56" customFormat="false" ht="15" hidden="false" customHeight="false" outlineLevel="0" collapsed="false">
      <c r="A56" s="10" t="n">
        <v>49</v>
      </c>
      <c r="B56" s="10" t="n">
        <f aca="false">COUNTIFS('Switch Graph'!$G$5:$G$67,"&lt;="&amp;A56,'Switch Graph'!$H$5:$H$67,"&gt;="&amp;A56)</f>
        <v>5</v>
      </c>
      <c r="C56" s="10" t="n">
        <f aca="false">IF(A56&gt;=Parameters!$B$24,1,Parameters!$B$27)</f>
        <v>2</v>
      </c>
      <c r="D56" s="10" t="n">
        <f aca="false">IF(A56&gt;=Parameters!$B$24,99,IF(A56&lt;=Parameters!$B$23,Parameters!$B$28,Parameters!$B$29))</f>
        <v>8</v>
      </c>
      <c r="E56" s="10" t="str">
        <f aca="false">IF(OR(B56&lt;C56,B56&gt;D56),"CHECK","OK")</f>
        <v>OK</v>
      </c>
      <c r="F56" s="10" t="str">
        <f aca="false">IF(A56&gt;=Parameters!$B$24,"Finale",IF(A56&lt;=Parameters!$B$22,"Early",IF(A56&lt;=Parameters!$B$23,"Mid","Late")))</f>
        <v>Late</v>
      </c>
      <c r="G56" s="10" t="s">
        <v>335</v>
      </c>
      <c r="H56" s="3" t="n">
        <f aca="false">IF(A56&lt;Parameters!$B$24,B56,999)</f>
        <v>5</v>
      </c>
    </row>
    <row r="57" customFormat="false" ht="15" hidden="false" customHeight="false" outlineLevel="0" collapsed="false">
      <c r="A57" s="10" t="n">
        <v>50</v>
      </c>
      <c r="B57" s="10" t="n">
        <f aca="false">COUNTIFS('Switch Graph'!$G$5:$G$67,"&lt;="&amp;A57,'Switch Graph'!$H$5:$H$67,"&gt;="&amp;A57)</f>
        <v>6</v>
      </c>
      <c r="C57" s="10" t="n">
        <f aca="false">IF(A57&gt;=Parameters!$B$24,1,Parameters!$B$27)</f>
        <v>2</v>
      </c>
      <c r="D57" s="10" t="n">
        <f aca="false">IF(A57&gt;=Parameters!$B$24,99,IF(A57&lt;=Parameters!$B$23,Parameters!$B$28,Parameters!$B$29))</f>
        <v>8</v>
      </c>
      <c r="E57" s="10" t="str">
        <f aca="false">IF(OR(B57&lt;C57,B57&gt;D57),"CHECK","OK")</f>
        <v>OK</v>
      </c>
      <c r="F57" s="10" t="str">
        <f aca="false">IF(A57&gt;=Parameters!$B$24,"Finale",IF(A57&lt;=Parameters!$B$22,"Early",IF(A57&lt;=Parameters!$B$23,"Mid","Late")))</f>
        <v>Late</v>
      </c>
      <c r="G57" s="10" t="s">
        <v>336</v>
      </c>
      <c r="H57" s="3" t="n">
        <f aca="false">IF(A57&lt;Parameters!$B$24,B57,999)</f>
        <v>6</v>
      </c>
    </row>
    <row r="58" customFormat="false" ht="15" hidden="false" customHeight="false" outlineLevel="0" collapsed="false">
      <c r="A58" s="10" t="n">
        <v>51</v>
      </c>
      <c r="B58" s="10" t="n">
        <f aca="false">COUNTIFS('Switch Graph'!$G$5:$G$67,"&lt;="&amp;A58,'Switch Graph'!$H$5:$H$67,"&gt;="&amp;A58)</f>
        <v>7</v>
      </c>
      <c r="C58" s="10" t="n">
        <f aca="false">IF(A58&gt;=Parameters!$B$24,1,Parameters!$B$27)</f>
        <v>2</v>
      </c>
      <c r="D58" s="10" t="n">
        <f aca="false">IF(A58&gt;=Parameters!$B$24,99,IF(A58&lt;=Parameters!$B$23,Parameters!$B$28,Parameters!$B$29))</f>
        <v>8</v>
      </c>
      <c r="E58" s="10" t="str">
        <f aca="false">IF(OR(B58&lt;C58,B58&gt;D58),"CHECK","OK")</f>
        <v>OK</v>
      </c>
      <c r="F58" s="10" t="str">
        <f aca="false">IF(A58&gt;=Parameters!$B$24,"Finale",IF(A58&lt;=Parameters!$B$22,"Early",IF(A58&lt;=Parameters!$B$23,"Mid","Late")))</f>
        <v>Late</v>
      </c>
      <c r="G58" s="10" t="s">
        <v>337</v>
      </c>
      <c r="H58" s="3" t="n">
        <f aca="false">IF(A58&lt;Parameters!$B$24,B58,999)</f>
        <v>7</v>
      </c>
    </row>
    <row r="59" customFormat="false" ht="15" hidden="false" customHeight="false" outlineLevel="0" collapsed="false">
      <c r="A59" s="10" t="n">
        <v>52</v>
      </c>
      <c r="B59" s="10" t="n">
        <f aca="false">COUNTIFS('Switch Graph'!$G$5:$G$67,"&lt;="&amp;A59,'Switch Graph'!$H$5:$H$67,"&gt;="&amp;A59)</f>
        <v>7</v>
      </c>
      <c r="C59" s="10" t="n">
        <f aca="false">IF(A59&gt;=Parameters!$B$24,1,Parameters!$B$27)</f>
        <v>2</v>
      </c>
      <c r="D59" s="10" t="n">
        <f aca="false">IF(A59&gt;=Parameters!$B$24,99,IF(A59&lt;=Parameters!$B$23,Parameters!$B$28,Parameters!$B$29))</f>
        <v>8</v>
      </c>
      <c r="E59" s="10" t="str">
        <f aca="false">IF(OR(B59&lt;C59,B59&gt;D59),"CHECK","OK")</f>
        <v>OK</v>
      </c>
      <c r="F59" s="10" t="str">
        <f aca="false">IF(A59&gt;=Parameters!$B$24,"Finale",IF(A59&lt;=Parameters!$B$22,"Early",IF(A59&lt;=Parameters!$B$23,"Mid","Late")))</f>
        <v>Late</v>
      </c>
      <c r="G59" s="10" t="s">
        <v>338</v>
      </c>
      <c r="H59" s="3" t="n">
        <f aca="false">IF(A59&lt;Parameters!$B$24,B59,999)</f>
        <v>7</v>
      </c>
    </row>
    <row r="60" customFormat="false" ht="15" hidden="false" customHeight="false" outlineLevel="0" collapsed="false">
      <c r="A60" s="10" t="n">
        <v>53</v>
      </c>
      <c r="B60" s="10" t="n">
        <f aca="false">COUNTIFS('Switch Graph'!$G$5:$G$67,"&lt;="&amp;A60,'Switch Graph'!$H$5:$H$67,"&gt;="&amp;A60)</f>
        <v>6</v>
      </c>
      <c r="C60" s="10" t="n">
        <f aca="false">IF(A60&gt;=Parameters!$B$24,1,Parameters!$B$27)</f>
        <v>2</v>
      </c>
      <c r="D60" s="10" t="n">
        <f aca="false">IF(A60&gt;=Parameters!$B$24,99,IF(A60&lt;=Parameters!$B$23,Parameters!$B$28,Parameters!$B$29))</f>
        <v>8</v>
      </c>
      <c r="E60" s="10" t="str">
        <f aca="false">IF(OR(B60&lt;C60,B60&gt;D60),"CHECK","OK")</f>
        <v>OK</v>
      </c>
      <c r="F60" s="10" t="str">
        <f aca="false">IF(A60&gt;=Parameters!$B$24,"Finale",IF(A60&lt;=Parameters!$B$22,"Early",IF(A60&lt;=Parameters!$B$23,"Mid","Late")))</f>
        <v>Late</v>
      </c>
      <c r="G60" s="10" t="s">
        <v>339</v>
      </c>
      <c r="H60" s="3" t="n">
        <f aca="false">IF(A60&lt;Parameters!$B$24,B60,999)</f>
        <v>6</v>
      </c>
    </row>
    <row r="61" customFormat="false" ht="15" hidden="false" customHeight="false" outlineLevel="0" collapsed="false">
      <c r="A61" s="10" t="n">
        <v>54</v>
      </c>
      <c r="B61" s="10" t="n">
        <f aca="false">COUNTIFS('Switch Graph'!$G$5:$G$67,"&lt;="&amp;A61,'Switch Graph'!$H$5:$H$67,"&gt;="&amp;A61)</f>
        <v>7</v>
      </c>
      <c r="C61" s="10" t="n">
        <f aca="false">IF(A61&gt;=Parameters!$B$24,1,Parameters!$B$27)</f>
        <v>2</v>
      </c>
      <c r="D61" s="10" t="n">
        <f aca="false">IF(A61&gt;=Parameters!$B$24,99,IF(A61&lt;=Parameters!$B$23,Parameters!$B$28,Parameters!$B$29))</f>
        <v>8</v>
      </c>
      <c r="E61" s="10" t="str">
        <f aca="false">IF(OR(B61&lt;C61,B61&gt;D61),"CHECK","OK")</f>
        <v>OK</v>
      </c>
      <c r="F61" s="10" t="str">
        <f aca="false">IF(A61&gt;=Parameters!$B$24,"Finale",IF(A61&lt;=Parameters!$B$22,"Early",IF(A61&lt;=Parameters!$B$23,"Mid","Late")))</f>
        <v>Late</v>
      </c>
      <c r="G61" s="10" t="s">
        <v>340</v>
      </c>
      <c r="H61" s="3" t="n">
        <f aca="false">IF(A61&lt;Parameters!$B$24,B61,999)</f>
        <v>7</v>
      </c>
    </row>
    <row r="62" customFormat="false" ht="15" hidden="false" customHeight="false" outlineLevel="0" collapsed="false">
      <c r="A62" s="10" t="n">
        <v>55</v>
      </c>
      <c r="B62" s="10" t="n">
        <f aca="false">COUNTIFS('Switch Graph'!$G$5:$G$67,"&lt;="&amp;A62,'Switch Graph'!$H$5:$H$67,"&gt;="&amp;A62)</f>
        <v>6</v>
      </c>
      <c r="C62" s="10" t="n">
        <f aca="false">IF(A62&gt;=Parameters!$B$24,1,Parameters!$B$27)</f>
        <v>2</v>
      </c>
      <c r="D62" s="10" t="n">
        <f aca="false">IF(A62&gt;=Parameters!$B$24,99,IF(A62&lt;=Parameters!$B$23,Parameters!$B$28,Parameters!$B$29))</f>
        <v>8</v>
      </c>
      <c r="E62" s="10" t="str">
        <f aca="false">IF(OR(B62&lt;C62,B62&gt;D62),"CHECK","OK")</f>
        <v>OK</v>
      </c>
      <c r="F62" s="10" t="str">
        <f aca="false">IF(A62&gt;=Parameters!$B$24,"Finale",IF(A62&lt;=Parameters!$B$22,"Early",IF(A62&lt;=Parameters!$B$23,"Mid","Late")))</f>
        <v>Late</v>
      </c>
      <c r="G62" s="10" t="s">
        <v>341</v>
      </c>
      <c r="H62" s="3" t="n">
        <f aca="false">IF(A62&lt;Parameters!$B$24,B62,999)</f>
        <v>6</v>
      </c>
    </row>
    <row r="63" customFormat="false" ht="15" hidden="false" customHeight="false" outlineLevel="0" collapsed="false">
      <c r="A63" s="10" t="n">
        <v>56</v>
      </c>
      <c r="B63" s="10" t="n">
        <f aca="false">COUNTIFS('Switch Graph'!$G$5:$G$67,"&lt;="&amp;A63,'Switch Graph'!$H$5:$H$67,"&gt;="&amp;A63)</f>
        <v>6</v>
      </c>
      <c r="C63" s="10" t="n">
        <f aca="false">IF(A63&gt;=Parameters!$B$24,1,Parameters!$B$27)</f>
        <v>2</v>
      </c>
      <c r="D63" s="10" t="n">
        <f aca="false">IF(A63&gt;=Parameters!$B$24,99,IF(A63&lt;=Parameters!$B$23,Parameters!$B$28,Parameters!$B$29))</f>
        <v>8</v>
      </c>
      <c r="E63" s="10" t="str">
        <f aca="false">IF(OR(B63&lt;C63,B63&gt;D63),"CHECK","OK")</f>
        <v>OK</v>
      </c>
      <c r="F63" s="10" t="str">
        <f aca="false">IF(A63&gt;=Parameters!$B$24,"Finale",IF(A63&lt;=Parameters!$B$22,"Early",IF(A63&lt;=Parameters!$B$23,"Mid","Late")))</f>
        <v>Late</v>
      </c>
      <c r="G63" s="10" t="s">
        <v>342</v>
      </c>
      <c r="H63" s="3" t="n">
        <f aca="false">IF(A63&lt;Parameters!$B$24,B63,999)</f>
        <v>6</v>
      </c>
    </row>
    <row r="64" customFormat="false" ht="15" hidden="false" customHeight="false" outlineLevel="0" collapsed="false">
      <c r="A64" s="10" t="n">
        <v>57</v>
      </c>
      <c r="B64" s="10" t="n">
        <f aca="false">COUNTIFS('Switch Graph'!$G$5:$G$67,"&lt;="&amp;A64,'Switch Graph'!$H$5:$H$67,"&gt;="&amp;A64)</f>
        <v>5</v>
      </c>
      <c r="C64" s="10" t="n">
        <f aca="false">IF(A64&gt;=Parameters!$B$24,1,Parameters!$B$27)</f>
        <v>2</v>
      </c>
      <c r="D64" s="10" t="n">
        <f aca="false">IF(A64&gt;=Parameters!$B$24,99,IF(A64&lt;=Parameters!$B$23,Parameters!$B$28,Parameters!$B$29))</f>
        <v>8</v>
      </c>
      <c r="E64" s="10" t="str">
        <f aca="false">IF(OR(B64&lt;C64,B64&gt;D64),"CHECK","OK")</f>
        <v>OK</v>
      </c>
      <c r="F64" s="10" t="str">
        <f aca="false">IF(A64&gt;=Parameters!$B$24,"Finale",IF(A64&lt;=Parameters!$B$22,"Early",IF(A64&lt;=Parameters!$B$23,"Mid","Late")))</f>
        <v>Late</v>
      </c>
      <c r="G64" s="10" t="s">
        <v>343</v>
      </c>
      <c r="H64" s="3" t="n">
        <f aca="false">IF(A64&lt;Parameters!$B$24,B64,999)</f>
        <v>5</v>
      </c>
    </row>
    <row r="65" customFormat="false" ht="15" hidden="false" customHeight="false" outlineLevel="0" collapsed="false">
      <c r="A65" s="10" t="n">
        <v>58</v>
      </c>
      <c r="B65" s="10" t="n">
        <f aca="false">COUNTIFS('Switch Graph'!$G$5:$G$67,"&lt;="&amp;A65,'Switch Graph'!$H$5:$H$67,"&gt;="&amp;A65)</f>
        <v>4</v>
      </c>
      <c r="C65" s="10" t="n">
        <f aca="false">IF(A65&gt;=Parameters!$B$24,1,Parameters!$B$27)</f>
        <v>2</v>
      </c>
      <c r="D65" s="10" t="n">
        <f aca="false">IF(A65&gt;=Parameters!$B$24,99,IF(A65&lt;=Parameters!$B$23,Parameters!$B$28,Parameters!$B$29))</f>
        <v>8</v>
      </c>
      <c r="E65" s="10" t="str">
        <f aca="false">IF(OR(B65&lt;C65,B65&gt;D65),"CHECK","OK")</f>
        <v>OK</v>
      </c>
      <c r="F65" s="10" t="str">
        <f aca="false">IF(A65&gt;=Parameters!$B$24,"Finale",IF(A65&lt;=Parameters!$B$22,"Early",IF(A65&lt;=Parameters!$B$23,"Mid","Late")))</f>
        <v>Late</v>
      </c>
      <c r="G65" s="10" t="s">
        <v>344</v>
      </c>
      <c r="H65" s="3" t="n">
        <f aca="false">IF(A65&lt;Parameters!$B$24,B65,999)</f>
        <v>4</v>
      </c>
    </row>
    <row r="66" customFormat="false" ht="15" hidden="false" customHeight="false" outlineLevel="0" collapsed="false">
      <c r="A66" s="10" t="n">
        <v>59</v>
      </c>
      <c r="B66" s="10" t="n">
        <f aca="false">COUNTIFS('Switch Graph'!$G$5:$G$67,"&lt;="&amp;A66,'Switch Graph'!$H$5:$H$67,"&gt;="&amp;A66)</f>
        <v>3</v>
      </c>
      <c r="C66" s="10" t="n">
        <f aca="false">IF(A66&gt;=Parameters!$B$24,1,Parameters!$B$27)</f>
        <v>2</v>
      </c>
      <c r="D66" s="10" t="n">
        <f aca="false">IF(A66&gt;=Parameters!$B$24,99,IF(A66&lt;=Parameters!$B$23,Parameters!$B$28,Parameters!$B$29))</f>
        <v>8</v>
      </c>
      <c r="E66" s="10" t="str">
        <f aca="false">IF(OR(B66&lt;C66,B66&gt;D66),"CHECK","OK")</f>
        <v>OK</v>
      </c>
      <c r="F66" s="10" t="str">
        <f aca="false">IF(A66&gt;=Parameters!$B$24,"Finale",IF(A66&lt;=Parameters!$B$22,"Early",IF(A66&lt;=Parameters!$B$23,"Mid","Late")))</f>
        <v>Late</v>
      </c>
      <c r="G66" s="10" t="s">
        <v>345</v>
      </c>
      <c r="H66" s="3" t="n">
        <f aca="false">IF(A66&lt;Parameters!$B$24,B66,999)</f>
        <v>3</v>
      </c>
    </row>
    <row r="67" customFormat="false" ht="15" hidden="false" customHeight="false" outlineLevel="0" collapsed="false">
      <c r="A67" s="10" t="n">
        <v>60</v>
      </c>
      <c r="B67" s="10" t="n">
        <f aca="false">COUNTIFS('Switch Graph'!$G$5:$G$67,"&lt;="&amp;A67,'Switch Graph'!$H$5:$H$67,"&gt;="&amp;A67)</f>
        <v>2</v>
      </c>
      <c r="C67" s="10" t="n">
        <f aca="false">IF(A67&gt;=Parameters!$B$24,1,Parameters!$B$27)</f>
        <v>2</v>
      </c>
      <c r="D67" s="10" t="n">
        <f aca="false">IF(A67&gt;=Parameters!$B$24,99,IF(A67&lt;=Parameters!$B$23,Parameters!$B$28,Parameters!$B$29))</f>
        <v>8</v>
      </c>
      <c r="E67" s="10" t="str">
        <f aca="false">IF(OR(B67&lt;C67,B67&gt;D67),"CHECK","OK")</f>
        <v>OK</v>
      </c>
      <c r="F67" s="10" t="str">
        <f aca="false">IF(A67&gt;=Parameters!$B$24,"Finale",IF(A67&lt;=Parameters!$B$22,"Early",IF(A67&lt;=Parameters!$B$23,"Mid","Late")))</f>
        <v>Late</v>
      </c>
      <c r="G67" s="10" t="s">
        <v>346</v>
      </c>
      <c r="H67" s="3" t="n">
        <f aca="false">IF(A67&lt;Parameters!$B$24,B67,999)</f>
        <v>2</v>
      </c>
    </row>
    <row r="68" customFormat="false" ht="15" hidden="false" customHeight="false" outlineLevel="0" collapsed="false">
      <c r="A68" s="10" t="n">
        <v>61</v>
      </c>
      <c r="B68" s="10" t="n">
        <f aca="false">COUNTIFS('Switch Graph'!$G$5:$G$67,"&lt;="&amp;A68,'Switch Graph'!$H$5:$H$67,"&gt;="&amp;A68)</f>
        <v>1</v>
      </c>
      <c r="C68" s="10" t="n">
        <f aca="false">IF(A68&gt;=Parameters!$B$24,1,Parameters!$B$27)</f>
        <v>1</v>
      </c>
      <c r="D68" s="10" t="n">
        <f aca="false">IF(A68&gt;=Parameters!$B$24,99,IF(A68&lt;=Parameters!$B$23,Parameters!$B$28,Parameters!$B$29))</f>
        <v>99</v>
      </c>
      <c r="E68" s="10" t="str">
        <f aca="false">IF(OR(B68&lt;C68,B68&gt;D68),"CHECK","OK")</f>
        <v>OK</v>
      </c>
      <c r="F68" s="10" t="str">
        <f aca="false">IF(A68&gt;=Parameters!$B$24,"Finale",IF(A68&lt;=Parameters!$B$22,"Early",IF(A68&lt;=Parameters!$B$23,"Mid","Late")))</f>
        <v>Finale</v>
      </c>
      <c r="G68" s="10" t="s">
        <v>253</v>
      </c>
      <c r="H68" s="3" t="n">
        <f aca="false">IF(A68&lt;Parameters!$B$24,B68,999)</f>
        <v>999</v>
      </c>
    </row>
    <row r="69" customFormat="false" ht="15" hidden="false" customHeight="false" outlineLevel="0" collapsed="false">
      <c r="A69" s="10" t="n">
        <v>62</v>
      </c>
      <c r="B69" s="10" t="n">
        <f aca="false">COUNTIFS('Switch Graph'!$G$5:$G$67,"&lt;="&amp;A69,'Switch Graph'!$H$5:$H$67,"&gt;="&amp;A69)</f>
        <v>1</v>
      </c>
      <c r="C69" s="10" t="n">
        <f aca="false">IF(A69&gt;=Parameters!$B$24,1,Parameters!$B$27)</f>
        <v>1</v>
      </c>
      <c r="D69" s="10" t="n">
        <f aca="false">IF(A69&gt;=Parameters!$B$24,99,IF(A69&lt;=Parameters!$B$23,Parameters!$B$28,Parameters!$B$29))</f>
        <v>99</v>
      </c>
      <c r="E69" s="10" t="str">
        <f aca="false">IF(OR(B69&lt;C69,B69&gt;D69),"CHECK","OK")</f>
        <v>OK</v>
      </c>
      <c r="F69" s="10" t="str">
        <f aca="false">IF(A69&gt;=Parameters!$B$24,"Finale",IF(A69&lt;=Parameters!$B$22,"Early",IF(A69&lt;=Parameters!$B$23,"Mid","Late")))</f>
        <v>Finale</v>
      </c>
      <c r="G69" s="10" t="s">
        <v>257</v>
      </c>
      <c r="H69" s="3" t="n">
        <f aca="false">IF(A69&lt;Parameters!$B$24,B69,999)</f>
        <v>999</v>
      </c>
    </row>
    <row r="70" customFormat="false" ht="15" hidden="false" customHeight="false" outlineLevel="0" collapsed="false">
      <c r="A70" s="10" t="n">
        <v>63</v>
      </c>
      <c r="B70" s="10" t="n">
        <f aca="false">COUNTIFS('Switch Graph'!$G$5:$G$67,"&lt;="&amp;A70,'Switch Graph'!$H$5:$H$67,"&gt;="&amp;A70)</f>
        <v>1</v>
      </c>
      <c r="C70" s="10" t="n">
        <f aca="false">IF(A70&gt;=Parameters!$B$24,1,Parameters!$B$27)</f>
        <v>1</v>
      </c>
      <c r="D70" s="10" t="n">
        <f aca="false">IF(A70&gt;=Parameters!$B$24,99,IF(A70&lt;=Parameters!$B$23,Parameters!$B$28,Parameters!$B$29))</f>
        <v>99</v>
      </c>
      <c r="E70" s="10" t="str">
        <f aca="false">IF(OR(B70&lt;C70,B70&gt;D70),"CHECK","OK")</f>
        <v>OK</v>
      </c>
      <c r="F70" s="10" t="str">
        <f aca="false">IF(A70&gt;=Parameters!$B$24,"Finale",IF(A70&lt;=Parameters!$B$22,"Early",IF(A70&lt;=Parameters!$B$23,"Mid","Late")))</f>
        <v>Finale</v>
      </c>
      <c r="G70" s="10" t="s">
        <v>261</v>
      </c>
      <c r="H70" s="3" t="n">
        <f aca="false">IF(A70&lt;Parameters!$B$24,B70,999)</f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347</v>
      </c>
    </row>
    <row r="2" customFormat="false" ht="15" hidden="false" customHeight="false" outlineLevel="0" collapsed="false">
      <c r="A2" s="2" t="s">
        <v>348</v>
      </c>
    </row>
    <row r="4" customFormat="false" ht="15" hidden="false" customHeight="false" outlineLevel="0" collapsed="false">
      <c r="A4" s="5" t="s">
        <v>349</v>
      </c>
    </row>
    <row r="5" customFormat="false" ht="15" hidden="false" customHeight="false" outlineLevel="0" collapsed="false">
      <c r="A5" s="16" t="s">
        <v>71</v>
      </c>
      <c r="B5" s="16" t="s">
        <v>350</v>
      </c>
      <c r="C5" s="16" t="s">
        <v>72</v>
      </c>
      <c r="D5" s="16" t="s">
        <v>73</v>
      </c>
      <c r="E5" s="16" t="s">
        <v>351</v>
      </c>
    </row>
    <row r="6" customFormat="false" ht="15" hidden="false" customHeight="false" outlineLevel="0" collapsed="false">
      <c r="A6" s="3" t="s">
        <v>352</v>
      </c>
      <c r="B6" s="17" t="n">
        <f aca="false">COUNTIF('Switch Graph'!$K$5:$K$67,A6)</f>
        <v>20</v>
      </c>
      <c r="C6" s="17" t="n">
        <f aca="false">SUMIF('Switch Graph'!$K$5:$K$67,A6,'Switch Graph'!$L$5:$L$67)</f>
        <v>51</v>
      </c>
      <c r="D6" s="3" t="n">
        <f aca="false">IF(A6="Early",Parameters!$B$16,IF(A6="Mid",Parameters!$B$17,Parameters!$B$18))</f>
        <v>2.5</v>
      </c>
      <c r="E6" s="18" t="n">
        <f aca="false">SUMIF('Switch Graph'!$K$5:$K$67,A6,'Switch Graph'!$N$5:$N$67)/60</f>
        <v>2.7625</v>
      </c>
    </row>
    <row r="7" customFormat="false" ht="15" hidden="false" customHeight="false" outlineLevel="0" collapsed="false">
      <c r="A7" s="3" t="s">
        <v>353</v>
      </c>
      <c r="B7" s="17" t="n">
        <f aca="false">COUNTIF('Switch Graph'!$K$5:$K$67,A7)</f>
        <v>25</v>
      </c>
      <c r="C7" s="17" t="n">
        <f aca="false">SUMIF('Switch Graph'!$K$5:$K$67,A7,'Switch Graph'!$L$5:$L$67)</f>
        <v>76</v>
      </c>
      <c r="D7" s="3" t="n">
        <f aca="false">IF(A7="Early",Parameters!$B$16,IF(A7="Mid",Parameters!$B$17,Parameters!$B$18))</f>
        <v>5.5</v>
      </c>
      <c r="E7" s="18" t="n">
        <f aca="false">SUMIF('Switch Graph'!$K$5:$K$67,A7,'Switch Graph'!$N$5:$N$67)/60</f>
        <v>7.91666666666667</v>
      </c>
    </row>
    <row r="8" customFormat="false" ht="15" hidden="false" customHeight="false" outlineLevel="0" collapsed="false">
      <c r="A8" s="3" t="s">
        <v>354</v>
      </c>
      <c r="B8" s="17" t="n">
        <f aca="false">COUNTIF('Switch Graph'!$K$5:$K$67,A8)</f>
        <v>18</v>
      </c>
      <c r="C8" s="17" t="n">
        <f aca="false">SUMIF('Switch Graph'!$K$5:$K$67,A8,'Switch Graph'!$L$5:$L$67)</f>
        <v>162</v>
      </c>
      <c r="D8" s="3" t="n">
        <f aca="false">IF(A8="Early",Parameters!$B$16,IF(A8="Mid",Parameters!$B$17,Parameters!$B$18))</f>
        <v>10</v>
      </c>
      <c r="E8" s="18" t="n">
        <f aca="false">SUMIF('Switch Graph'!$K$5:$K$67,A8,'Switch Graph'!$N$5:$N$67)/60</f>
        <v>29.025</v>
      </c>
    </row>
    <row r="9" customFormat="false" ht="15" hidden="false" customHeight="false" outlineLevel="0" collapsed="false">
      <c r="A9" s="4" t="s">
        <v>355</v>
      </c>
      <c r="B9" s="4" t="n">
        <f aca="false">SUM(B6:B8)</f>
        <v>63</v>
      </c>
      <c r="C9" s="4" t="n">
        <f aca="false">SUM(C6:C8)</f>
        <v>289</v>
      </c>
      <c r="E9" s="19" t="n">
        <f aca="false">SUM(E6:E8)</f>
        <v>39.7041666666667</v>
      </c>
    </row>
    <row r="11" customFormat="false" ht="15" hidden="false" customHeight="false" outlineLevel="0" collapsed="false">
      <c r="A11" s="5" t="s">
        <v>356</v>
      </c>
    </row>
    <row r="12" customFormat="false" ht="15" hidden="false" customHeight="false" outlineLevel="0" collapsed="false">
      <c r="A12" s="4" t="s">
        <v>357</v>
      </c>
      <c r="B12" s="20" t="n">
        <f aca="false">COUNTA('Switch Graph'!$A$5:$A$67)</f>
        <v>63</v>
      </c>
      <c r="C12" s="2" t="s">
        <v>358</v>
      </c>
    </row>
    <row r="13" customFormat="false" ht="15" hidden="false" customHeight="false" outlineLevel="0" collapsed="false">
      <c r="A13" s="4" t="s">
        <v>359</v>
      </c>
      <c r="B13" s="20" t="n">
        <f aca="false">C9</f>
        <v>289</v>
      </c>
      <c r="C13" s="2" t="s">
        <v>360</v>
      </c>
    </row>
    <row r="14" customFormat="false" ht="15" hidden="false" customHeight="false" outlineLevel="0" collapsed="false">
      <c r="A14" s="4" t="s">
        <v>361</v>
      </c>
      <c r="B14" s="18" t="n">
        <f aca="false">IFERROR(E9*60/C9,0)</f>
        <v>8.24307958477509</v>
      </c>
      <c r="C14" s="2"/>
    </row>
    <row r="15" customFormat="false" ht="15" hidden="false" customHeight="false" outlineLevel="0" collapsed="false">
      <c r="A15" s="4" t="s">
        <v>362</v>
      </c>
      <c r="B15" s="21" t="n">
        <f aca="false">E9</f>
        <v>39.7041666666667</v>
      </c>
      <c r="C15" s="2" t="s">
        <v>363</v>
      </c>
    </row>
    <row r="16" customFormat="false" ht="15" hidden="false" customHeight="false" outlineLevel="0" collapsed="false">
      <c r="A16" s="4" t="s">
        <v>364</v>
      </c>
      <c r="B16" s="18" t="n">
        <f aca="false">IFERROR(C9/B9,0)</f>
        <v>4.58730158730159</v>
      </c>
      <c r="C16" s="2" t="s">
        <v>365</v>
      </c>
    </row>
    <row r="17" customFormat="false" ht="15" hidden="false" customHeight="false" outlineLevel="0" collapsed="false">
      <c r="A17" s="4" t="s">
        <v>366</v>
      </c>
      <c r="B17" s="18" t="n">
        <f aca="false">E9-Parameters!$B$32</f>
        <v>-0.295833333333334</v>
      </c>
      <c r="C17" s="2" t="s">
        <v>367</v>
      </c>
    </row>
    <row r="18" customFormat="false" ht="15" hidden="false" customHeight="false" outlineLevel="0" collapsed="false">
      <c r="A18" s="4" t="s">
        <v>368</v>
      </c>
      <c r="B18" s="18" t="n">
        <f aca="false">E9-Parameters!$B$33</f>
        <v>-20.2958333333333</v>
      </c>
      <c r="C18" s="2"/>
    </row>
    <row r="21" customFormat="false" ht="15" hidden="false" customHeight="false" outlineLevel="0" collapsed="false">
      <c r="A21" s="5" t="s">
        <v>369</v>
      </c>
    </row>
    <row r="22" customFormat="false" ht="15" hidden="false" customHeight="false" outlineLevel="0" collapsed="false">
      <c r="A22" s="3" t="s">
        <v>370</v>
      </c>
    </row>
    <row r="23" customFormat="false" ht="15" hidden="false" customHeight="false" outlineLevel="0" collapsed="false">
      <c r="A23" s="3" t="s">
        <v>371</v>
      </c>
    </row>
    <row r="24" customFormat="false" ht="15" hidden="false" customHeight="false" outlineLevel="0" collapsed="false">
      <c r="A24" s="3" t="s">
        <v>372</v>
      </c>
    </row>
    <row r="25" customFormat="false" ht="15" hidden="false" customHeight="false" outlineLevel="0" collapsed="false">
      <c r="A25" s="3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2026-09-23T00:51:57Z</dcterms:created>
  <dc:creator>openpyxl</dc:creator>
  <dc:description/>
  <dc:language>en-US</dc:language>
  <cp:lastModifiedBy/>
  <dcterms:modified xsi:type="dcterms:W3CDTF">2026-09-23T00:51:57Z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