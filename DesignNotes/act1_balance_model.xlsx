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3 Unity\HallOfEchoingMirrors\DesignNotes\"/>
    </mc:Choice>
  </mc:AlternateContent>
  <xr:revisionPtr revIDLastSave="0" documentId="13_ncr:1_{8828FD0F-B354-4E13-AA4F-A2644A1BBEA7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Read Me" sheetId="1" r:id="rId1"/>
    <sheet name="Parameters" sheetId="2" r:id="rId2"/>
    <sheet name="Route" sheetId="3" r:id="rId3"/>
    <sheet name="Run Progression" sheetId="4" r:id="rId4"/>
    <sheet name="Check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8" i="5" l="1"/>
  <c r="D6" i="5"/>
  <c r="P34" i="4"/>
  <c r="D34" i="4"/>
  <c r="P33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C34" i="3"/>
  <c r="B34" i="3"/>
  <c r="C33" i="3"/>
  <c r="B33" i="3"/>
  <c r="C32" i="3"/>
  <c r="C31" i="3"/>
  <c r="G29" i="3"/>
  <c r="G28" i="3"/>
  <c r="G26" i="3"/>
  <c r="G24" i="3"/>
  <c r="H22" i="3"/>
  <c r="I22" i="3" s="1"/>
  <c r="G22" i="3"/>
  <c r="H21" i="3"/>
  <c r="I21" i="3" s="1"/>
  <c r="G21" i="3"/>
  <c r="H20" i="3"/>
  <c r="I20" i="3" s="1"/>
  <c r="G20" i="3"/>
  <c r="H19" i="3"/>
  <c r="I19" i="3" s="1"/>
  <c r="G19" i="3"/>
  <c r="G27" i="3" s="1"/>
  <c r="H18" i="3"/>
  <c r="I18" i="3" s="1"/>
  <c r="G18" i="3"/>
  <c r="H17" i="3"/>
  <c r="I17" i="3" s="1"/>
  <c r="G17" i="3"/>
  <c r="H16" i="3"/>
  <c r="I16" i="3" s="1"/>
  <c r="G16" i="3"/>
  <c r="H15" i="3"/>
  <c r="I15" i="3" s="1"/>
  <c r="B31" i="3" s="1"/>
  <c r="G15" i="3"/>
  <c r="H14" i="3"/>
  <c r="I14" i="3" s="1"/>
  <c r="G14" i="3"/>
  <c r="H13" i="3"/>
  <c r="I13" i="3" s="1"/>
  <c r="I26" i="3" s="1"/>
  <c r="G13" i="3"/>
  <c r="H12" i="3"/>
  <c r="I12" i="3" s="1"/>
  <c r="G12" i="3"/>
  <c r="H11" i="3"/>
  <c r="I11" i="3" s="1"/>
  <c r="G11" i="3"/>
  <c r="H10" i="3"/>
  <c r="I10" i="3" s="1"/>
  <c r="G10" i="3"/>
  <c r="H9" i="3"/>
  <c r="I9" i="3" s="1"/>
  <c r="G9" i="3"/>
  <c r="H8" i="3"/>
  <c r="I8" i="3" s="1"/>
  <c r="G8" i="3"/>
  <c r="H7" i="3"/>
  <c r="I7" i="3" s="1"/>
  <c r="G7" i="3"/>
  <c r="H6" i="3"/>
  <c r="I6" i="3" s="1"/>
  <c r="G6" i="3"/>
  <c r="H5" i="3"/>
  <c r="I5" i="3" s="1"/>
  <c r="G5" i="3"/>
  <c r="B39" i="2"/>
  <c r="B30" i="2"/>
  <c r="B9" i="2"/>
  <c r="G25" i="3" l="1"/>
  <c r="B32" i="3"/>
  <c r="I25" i="3"/>
  <c r="C30" i="3"/>
  <c r="B30" i="3"/>
  <c r="I24" i="3"/>
  <c r="B5" i="4" s="1"/>
  <c r="P32" i="4"/>
  <c r="P31" i="4"/>
  <c r="P29" i="4"/>
  <c r="P8" i="4"/>
  <c r="P27" i="4"/>
  <c r="P6" i="4"/>
  <c r="P28" i="4"/>
  <c r="P26" i="4"/>
  <c r="P25" i="4"/>
  <c r="P12" i="4"/>
  <c r="P22" i="4"/>
  <c r="P5" i="4"/>
  <c r="P30" i="4"/>
  <c r="P7" i="4"/>
  <c r="P13" i="4"/>
  <c r="P24" i="4"/>
  <c r="P14" i="4"/>
  <c r="P23" i="4"/>
  <c r="P9" i="4"/>
  <c r="P15" i="4"/>
  <c r="P19" i="4"/>
  <c r="P21" i="4"/>
  <c r="P16" i="4"/>
  <c r="P20" i="4"/>
  <c r="P17" i="4"/>
  <c r="P18" i="4"/>
  <c r="P10" i="4"/>
  <c r="P11" i="4"/>
  <c r="D32" i="3" l="1"/>
  <c r="D31" i="3"/>
  <c r="D33" i="3"/>
  <c r="D34" i="3"/>
  <c r="D30" i="3"/>
  <c r="C5" i="4"/>
  <c r="E5" i="4" s="1"/>
  <c r="F5" i="4" l="1"/>
  <c r="O5" i="4"/>
  <c r="Q5" i="4" l="1"/>
  <c r="R5" i="4" s="1"/>
  <c r="S5" i="4" s="1"/>
  <c r="T5" i="4" s="1"/>
  <c r="U5" i="4" s="1"/>
  <c r="H5" i="4" s="1"/>
  <c r="G5" i="4" s="1"/>
  <c r="I5" i="4" l="1"/>
  <c r="C8" i="5"/>
  <c r="E8" i="5" s="1"/>
  <c r="C11" i="5" l="1"/>
  <c r="E11" i="5" s="1"/>
  <c r="J5" i="4"/>
  <c r="K5" i="4" l="1"/>
  <c r="M5" i="4" s="1"/>
  <c r="N5" i="4" l="1"/>
  <c r="B6" i="4" s="1"/>
  <c r="L5" i="4"/>
  <c r="C6" i="4" l="1"/>
  <c r="E6" i="4" s="1"/>
  <c r="F6" i="4" l="1"/>
  <c r="O6" i="4"/>
  <c r="Q6" i="4" l="1"/>
  <c r="R6" i="4" s="1"/>
  <c r="S6" i="4" s="1"/>
  <c r="T6" i="4" s="1"/>
  <c r="U6" i="4" s="1"/>
  <c r="H6" i="4" s="1"/>
  <c r="G6" i="4" s="1"/>
  <c r="I6" i="4" l="1"/>
  <c r="J6" i="4" s="1"/>
  <c r="K6" i="4" l="1"/>
  <c r="M6" i="4" s="1"/>
  <c r="L6" i="4" l="1"/>
  <c r="N6" i="4"/>
  <c r="B7" i="4" s="1"/>
  <c r="C7" i="4" l="1"/>
  <c r="E7" i="4" s="1"/>
  <c r="F7" i="4" l="1"/>
  <c r="O7" i="4"/>
  <c r="Q7" i="4" l="1"/>
  <c r="R7" i="4" s="1"/>
  <c r="S7" i="4" s="1"/>
  <c r="T7" i="4" s="1"/>
  <c r="U7" i="4" s="1"/>
  <c r="H7" i="4" s="1"/>
  <c r="G7" i="4" s="1"/>
  <c r="I7" i="4" l="1"/>
  <c r="J7" i="4" s="1"/>
  <c r="K7" i="4" l="1"/>
  <c r="M7" i="4" s="1"/>
  <c r="L7" i="4" l="1"/>
  <c r="N7" i="4"/>
  <c r="B8" i="4" s="1"/>
  <c r="C8" i="4" l="1"/>
  <c r="E8" i="4" s="1"/>
  <c r="F8" i="4" l="1"/>
  <c r="O8" i="4"/>
  <c r="Q8" i="4" l="1"/>
  <c r="R8" i="4" s="1"/>
  <c r="S8" i="4" s="1"/>
  <c r="T8" i="4" s="1"/>
  <c r="U8" i="4" s="1"/>
  <c r="H8" i="4" s="1"/>
  <c r="G8" i="4" s="1"/>
  <c r="I8" i="4" l="1"/>
  <c r="J8" i="4" s="1"/>
  <c r="K8" i="4" l="1"/>
  <c r="M8" i="4" s="1"/>
  <c r="L8" i="4" l="1"/>
  <c r="N8" i="4"/>
  <c r="B9" i="4" s="1"/>
  <c r="C9" i="4" l="1"/>
  <c r="E9" i="4" s="1"/>
  <c r="F9" i="4" l="1"/>
  <c r="O9" i="4"/>
  <c r="Q9" i="4" l="1"/>
  <c r="R9" i="4" s="1"/>
  <c r="S9" i="4" s="1"/>
  <c r="T9" i="4" s="1"/>
  <c r="U9" i="4" s="1"/>
  <c r="H9" i="4" s="1"/>
  <c r="G9" i="4" s="1"/>
  <c r="I9" i="4" l="1"/>
  <c r="J9" i="4" s="1"/>
  <c r="K9" i="4" l="1"/>
  <c r="M9" i="4" s="1"/>
  <c r="L9" i="4" l="1"/>
  <c r="N9" i="4"/>
  <c r="B10" i="4" s="1"/>
  <c r="C10" i="4" l="1"/>
  <c r="E10" i="4" s="1"/>
  <c r="F10" i="4" l="1"/>
  <c r="O10" i="4"/>
  <c r="Q10" i="4" l="1"/>
  <c r="R10" i="4" s="1"/>
  <c r="S10" i="4" s="1"/>
  <c r="T10" i="4" s="1"/>
  <c r="U10" i="4" s="1"/>
  <c r="H10" i="4" s="1"/>
  <c r="G10" i="4" s="1"/>
  <c r="I10" i="4" l="1"/>
  <c r="J10" i="4" s="1"/>
  <c r="K10" i="4" l="1"/>
  <c r="M10" i="4" s="1"/>
  <c r="L10" i="4" l="1"/>
  <c r="N10" i="4"/>
  <c r="B11" i="4" s="1"/>
  <c r="C11" i="4" l="1"/>
  <c r="E11" i="4" s="1"/>
  <c r="F11" i="4" l="1"/>
  <c r="O11" i="4"/>
  <c r="Q11" i="4" l="1"/>
  <c r="R11" i="4" s="1"/>
  <c r="S11" i="4" s="1"/>
  <c r="T11" i="4" s="1"/>
  <c r="U11" i="4" s="1"/>
  <c r="H11" i="4" s="1"/>
  <c r="G11" i="4" s="1"/>
  <c r="I11" i="4" l="1"/>
  <c r="J11" i="4" s="1"/>
  <c r="K11" i="4" l="1"/>
  <c r="M11" i="4" s="1"/>
  <c r="L11" i="4" l="1"/>
  <c r="N11" i="4"/>
  <c r="B12" i="4" s="1"/>
  <c r="C12" i="4" l="1"/>
  <c r="E12" i="4" s="1"/>
  <c r="F12" i="4" l="1"/>
  <c r="O12" i="4"/>
  <c r="Q12" i="4" l="1"/>
  <c r="R12" i="4" s="1"/>
  <c r="S12" i="4" s="1"/>
  <c r="T12" i="4" s="1"/>
  <c r="U12" i="4" s="1"/>
  <c r="H12" i="4" s="1"/>
  <c r="G12" i="4" s="1"/>
  <c r="I12" i="4" l="1"/>
  <c r="J12" i="4" s="1"/>
  <c r="K12" i="4" l="1"/>
  <c r="M12" i="4" s="1"/>
  <c r="L12" i="4" l="1"/>
  <c r="N12" i="4"/>
  <c r="B13" i="4" s="1"/>
  <c r="C13" i="4" l="1"/>
  <c r="E13" i="4" s="1"/>
  <c r="F13" i="4" l="1"/>
  <c r="O13" i="4"/>
  <c r="Q13" i="4" l="1"/>
  <c r="R13" i="4" s="1"/>
  <c r="S13" i="4" s="1"/>
  <c r="T13" i="4" s="1"/>
  <c r="U13" i="4" s="1"/>
  <c r="H13" i="4" s="1"/>
  <c r="G13" i="4" s="1"/>
  <c r="I13" i="4" l="1"/>
  <c r="J13" i="4" s="1"/>
  <c r="K13" i="4" l="1"/>
  <c r="M13" i="4" s="1"/>
  <c r="L13" i="4" l="1"/>
  <c r="N13" i="4"/>
  <c r="B14" i="4" s="1"/>
  <c r="C14" i="4" l="1"/>
  <c r="E14" i="4" s="1"/>
  <c r="F14" i="4" l="1"/>
  <c r="O14" i="4"/>
  <c r="C12" i="5"/>
  <c r="E12" i="5" s="1"/>
  <c r="Q14" i="4" l="1"/>
  <c r="R14" i="4" s="1"/>
  <c r="S14" i="4" s="1"/>
  <c r="T14" i="4" s="1"/>
  <c r="U14" i="4" s="1"/>
  <c r="H14" i="4" s="1"/>
  <c r="G14" i="4" s="1"/>
  <c r="I14" i="4" l="1"/>
  <c r="J14" i="4" s="1"/>
  <c r="K14" i="4" l="1"/>
  <c r="M14" i="4" s="1"/>
  <c r="L14" i="4" l="1"/>
  <c r="N14" i="4"/>
  <c r="B15" i="4" s="1"/>
  <c r="C15" i="4" l="1"/>
  <c r="E15" i="4" s="1"/>
  <c r="F15" i="4" l="1"/>
  <c r="O15" i="4"/>
  <c r="Q15" i="4" l="1"/>
  <c r="R15" i="4" s="1"/>
  <c r="S15" i="4" s="1"/>
  <c r="T15" i="4" s="1"/>
  <c r="U15" i="4" s="1"/>
  <c r="H15" i="4" s="1"/>
  <c r="G15" i="4" s="1"/>
  <c r="I15" i="4" l="1"/>
  <c r="J15" i="4" s="1"/>
  <c r="K15" i="4" l="1"/>
  <c r="M15" i="4" s="1"/>
  <c r="L15" i="4" l="1"/>
  <c r="N15" i="4"/>
  <c r="B16" i="4" s="1"/>
  <c r="C16" i="4" l="1"/>
  <c r="E16" i="4" s="1"/>
  <c r="F16" i="4" l="1"/>
  <c r="O16" i="4"/>
  <c r="Q16" i="4" l="1"/>
  <c r="R16" i="4" s="1"/>
  <c r="S16" i="4" s="1"/>
  <c r="T16" i="4" s="1"/>
  <c r="U16" i="4" s="1"/>
  <c r="H16" i="4" s="1"/>
  <c r="G16" i="4" s="1"/>
  <c r="I16" i="4" l="1"/>
  <c r="J16" i="4" s="1"/>
  <c r="K16" i="4" l="1"/>
  <c r="M16" i="4" s="1"/>
  <c r="L16" i="4" l="1"/>
  <c r="N16" i="4"/>
  <c r="B17" i="4" s="1"/>
  <c r="C17" i="4" l="1"/>
  <c r="E17" i="4" s="1"/>
  <c r="F17" i="4" l="1"/>
  <c r="O17" i="4"/>
  <c r="Q17" i="4" l="1"/>
  <c r="R17" i="4" s="1"/>
  <c r="S17" i="4" s="1"/>
  <c r="T17" i="4" s="1"/>
  <c r="U17" i="4" s="1"/>
  <c r="H17" i="4" s="1"/>
  <c r="G17" i="4" s="1"/>
  <c r="I17" i="4" l="1"/>
  <c r="J17" i="4" s="1"/>
  <c r="K17" i="4" l="1"/>
  <c r="M17" i="4" s="1"/>
  <c r="L17" i="4" l="1"/>
  <c r="N17" i="4"/>
  <c r="B18" i="4" s="1"/>
  <c r="C18" i="4" l="1"/>
  <c r="E18" i="4" s="1"/>
  <c r="F18" i="4" l="1"/>
  <c r="O18" i="4"/>
  <c r="Q18" i="4" l="1"/>
  <c r="R18" i="4" s="1"/>
  <c r="S18" i="4" s="1"/>
  <c r="T18" i="4" s="1"/>
  <c r="U18" i="4" s="1"/>
  <c r="H18" i="4" s="1"/>
  <c r="G18" i="4" s="1"/>
  <c r="I18" i="4" l="1"/>
  <c r="J18" i="4" s="1"/>
  <c r="K18" i="4" l="1"/>
  <c r="M18" i="4" s="1"/>
  <c r="L18" i="4" l="1"/>
  <c r="N18" i="4"/>
  <c r="B19" i="4" s="1"/>
  <c r="C19" i="4" l="1"/>
  <c r="E19" i="4" s="1"/>
  <c r="F19" i="4" l="1"/>
  <c r="O19" i="4"/>
  <c r="Q19" i="4" l="1"/>
  <c r="R19" i="4" s="1"/>
  <c r="S19" i="4" s="1"/>
  <c r="T19" i="4" s="1"/>
  <c r="U19" i="4" s="1"/>
  <c r="H19" i="4" s="1"/>
  <c r="G19" i="4" s="1"/>
  <c r="I19" i="4" l="1"/>
  <c r="J19" i="4" s="1"/>
  <c r="K19" i="4" l="1"/>
  <c r="M19" i="4" s="1"/>
  <c r="L19" i="4" l="1"/>
  <c r="N19" i="4"/>
  <c r="B20" i="4" s="1"/>
  <c r="C20" i="4" l="1"/>
  <c r="E20" i="4" s="1"/>
  <c r="F20" i="4" l="1"/>
  <c r="O20" i="4"/>
  <c r="Q20" i="4" l="1"/>
  <c r="R20" i="4" s="1"/>
  <c r="S20" i="4" s="1"/>
  <c r="T20" i="4" s="1"/>
  <c r="U20" i="4" s="1"/>
  <c r="H20" i="4" s="1"/>
  <c r="G20" i="4" s="1"/>
  <c r="I20" i="4" l="1"/>
  <c r="J20" i="4" s="1"/>
  <c r="K20" i="4" l="1"/>
  <c r="M20" i="4" s="1"/>
  <c r="L20" i="4" l="1"/>
  <c r="N20" i="4"/>
  <c r="B21" i="4" s="1"/>
  <c r="C21" i="4" l="1"/>
  <c r="E21" i="4" s="1"/>
  <c r="F21" i="4" l="1"/>
  <c r="O21" i="4"/>
  <c r="Q21" i="4" l="1"/>
  <c r="R21" i="4" s="1"/>
  <c r="S21" i="4" s="1"/>
  <c r="T21" i="4" s="1"/>
  <c r="U21" i="4" s="1"/>
  <c r="H21" i="4" s="1"/>
  <c r="G21" i="4" s="1"/>
  <c r="I21" i="4" l="1"/>
  <c r="J21" i="4" s="1"/>
  <c r="K21" i="4" l="1"/>
  <c r="M21" i="4" s="1"/>
  <c r="L21" i="4" l="1"/>
  <c r="N21" i="4"/>
  <c r="B22" i="4" s="1"/>
  <c r="C22" i="4" l="1"/>
  <c r="E22" i="4" s="1"/>
  <c r="F22" i="4" l="1"/>
  <c r="O22" i="4"/>
  <c r="Q22" i="4" l="1"/>
  <c r="R22" i="4" s="1"/>
  <c r="S22" i="4" s="1"/>
  <c r="T22" i="4" s="1"/>
  <c r="U22" i="4" s="1"/>
  <c r="H22" i="4" s="1"/>
  <c r="G22" i="4" s="1"/>
  <c r="I22" i="4" l="1"/>
  <c r="J22" i="4" s="1"/>
  <c r="K22" i="4" l="1"/>
  <c r="M22" i="4" s="1"/>
  <c r="L22" i="4" l="1"/>
  <c r="N22" i="4"/>
  <c r="B23" i="4" s="1"/>
  <c r="C23" i="4" l="1"/>
  <c r="E23" i="4" s="1"/>
  <c r="F23" i="4" l="1"/>
  <c r="O23" i="4"/>
  <c r="Q23" i="4" l="1"/>
  <c r="R23" i="4" s="1"/>
  <c r="S23" i="4" s="1"/>
  <c r="T23" i="4" s="1"/>
  <c r="U23" i="4" s="1"/>
  <c r="H23" i="4" s="1"/>
  <c r="G23" i="4" s="1"/>
  <c r="I23" i="4" l="1"/>
  <c r="J23" i="4" s="1"/>
  <c r="K23" i="4" l="1"/>
  <c r="M23" i="4" s="1"/>
  <c r="L23" i="4" l="1"/>
  <c r="N23" i="4"/>
  <c r="B24" i="4" s="1"/>
  <c r="C24" i="4" l="1"/>
  <c r="E24" i="4" s="1"/>
  <c r="F24" i="4" l="1"/>
  <c r="O24" i="4"/>
  <c r="Q24" i="4" l="1"/>
  <c r="R24" i="4" s="1"/>
  <c r="S24" i="4" s="1"/>
  <c r="T24" i="4" s="1"/>
  <c r="U24" i="4" s="1"/>
  <c r="H24" i="4" s="1"/>
  <c r="G24" i="4" s="1"/>
  <c r="I24" i="4" l="1"/>
  <c r="J24" i="4" s="1"/>
  <c r="K24" i="4" l="1"/>
  <c r="M24" i="4" s="1"/>
  <c r="L24" i="4" l="1"/>
  <c r="N24" i="4"/>
  <c r="B25" i="4" s="1"/>
  <c r="C25" i="4" l="1"/>
  <c r="E25" i="4" s="1"/>
  <c r="F25" i="4" l="1"/>
  <c r="O25" i="4"/>
  <c r="Q25" i="4" l="1"/>
  <c r="R25" i="4" s="1"/>
  <c r="S25" i="4" s="1"/>
  <c r="T25" i="4" s="1"/>
  <c r="U25" i="4" s="1"/>
  <c r="H25" i="4" s="1"/>
  <c r="G25" i="4" s="1"/>
  <c r="I25" i="4" l="1"/>
  <c r="J25" i="4" s="1"/>
  <c r="K25" i="4" l="1"/>
  <c r="M25" i="4" s="1"/>
  <c r="L25" i="4" l="1"/>
  <c r="N25" i="4"/>
  <c r="B26" i="4" s="1"/>
  <c r="C26" i="4" l="1"/>
  <c r="E26" i="4" s="1"/>
  <c r="F26" i="4" l="1"/>
  <c r="O26" i="4"/>
  <c r="Q26" i="4" l="1"/>
  <c r="R26" i="4" s="1"/>
  <c r="S26" i="4" s="1"/>
  <c r="T26" i="4" s="1"/>
  <c r="U26" i="4" s="1"/>
  <c r="H26" i="4" s="1"/>
  <c r="G26" i="4" s="1"/>
  <c r="I26" i="4" l="1"/>
  <c r="J26" i="4" s="1"/>
  <c r="K26" i="4" l="1"/>
  <c r="M26" i="4" s="1"/>
  <c r="L26" i="4" l="1"/>
  <c r="N26" i="4"/>
  <c r="B27" i="4" s="1"/>
  <c r="C27" i="4" l="1"/>
  <c r="E27" i="4" s="1"/>
  <c r="F27" i="4" l="1"/>
  <c r="O27" i="4"/>
  <c r="Q27" i="4" l="1"/>
  <c r="R27" i="4" s="1"/>
  <c r="S27" i="4" s="1"/>
  <c r="T27" i="4" s="1"/>
  <c r="U27" i="4" s="1"/>
  <c r="H27" i="4" s="1"/>
  <c r="G27" i="4" s="1"/>
  <c r="I27" i="4" l="1"/>
  <c r="J27" i="4" s="1"/>
  <c r="K27" i="4" l="1"/>
  <c r="M27" i="4" s="1"/>
  <c r="L27" i="4" l="1"/>
  <c r="N27" i="4"/>
  <c r="B28" i="4" s="1"/>
  <c r="C28" i="4" l="1"/>
  <c r="E28" i="4" s="1"/>
  <c r="F28" i="4" l="1"/>
  <c r="O28" i="4"/>
  <c r="Q28" i="4" l="1"/>
  <c r="R28" i="4" s="1"/>
  <c r="S28" i="4" s="1"/>
  <c r="T28" i="4" s="1"/>
  <c r="U28" i="4" s="1"/>
  <c r="H28" i="4" s="1"/>
  <c r="G28" i="4" s="1"/>
  <c r="I28" i="4" l="1"/>
  <c r="J28" i="4" s="1"/>
  <c r="K28" i="4" l="1"/>
  <c r="M28" i="4" s="1"/>
  <c r="L28" i="4" l="1"/>
  <c r="N28" i="4"/>
  <c r="B29" i="4" s="1"/>
  <c r="C29" i="4" l="1"/>
  <c r="E29" i="4" s="1"/>
  <c r="F29" i="4" l="1"/>
  <c r="O29" i="4"/>
  <c r="Q29" i="4" l="1"/>
  <c r="R29" i="4" s="1"/>
  <c r="S29" i="4" s="1"/>
  <c r="T29" i="4" s="1"/>
  <c r="U29" i="4" s="1"/>
  <c r="H29" i="4" s="1"/>
  <c r="G29" i="4" s="1"/>
  <c r="I29" i="4" l="1"/>
  <c r="J29" i="4" s="1"/>
  <c r="K29" i="4" l="1"/>
  <c r="M29" i="4" s="1"/>
  <c r="L29" i="4" l="1"/>
  <c r="N29" i="4"/>
  <c r="B30" i="4" s="1"/>
  <c r="C30" i="4" l="1"/>
  <c r="E30" i="4" s="1"/>
  <c r="F30" i="4" l="1"/>
  <c r="O30" i="4"/>
  <c r="Q30" i="4" l="1"/>
  <c r="R30" i="4" s="1"/>
  <c r="S30" i="4" s="1"/>
  <c r="T30" i="4" s="1"/>
  <c r="U30" i="4" s="1"/>
  <c r="H30" i="4" s="1"/>
  <c r="G30" i="4" s="1"/>
  <c r="I30" i="4" l="1"/>
  <c r="J30" i="4" s="1"/>
  <c r="K30" i="4" l="1"/>
  <c r="M30" i="4" s="1"/>
  <c r="L30" i="4" l="1"/>
  <c r="N30" i="4"/>
  <c r="B31" i="4" s="1"/>
  <c r="C31" i="4" l="1"/>
  <c r="E31" i="4" s="1"/>
  <c r="F31" i="4" l="1"/>
  <c r="O31" i="4"/>
  <c r="Q31" i="4" l="1"/>
  <c r="R31" i="4" s="1"/>
  <c r="S31" i="4" s="1"/>
  <c r="T31" i="4" s="1"/>
  <c r="U31" i="4" s="1"/>
  <c r="H31" i="4" s="1"/>
  <c r="G31" i="4" s="1"/>
  <c r="I31" i="4" l="1"/>
  <c r="J31" i="4" s="1"/>
  <c r="K31" i="4" l="1"/>
  <c r="M31" i="4" s="1"/>
  <c r="L31" i="4" l="1"/>
  <c r="N31" i="4"/>
  <c r="B32" i="4" s="1"/>
  <c r="C32" i="4" l="1"/>
  <c r="E32" i="4" s="1"/>
  <c r="F32" i="4" l="1"/>
  <c r="O32" i="4"/>
  <c r="Q32" i="4" l="1"/>
  <c r="R32" i="4" s="1"/>
  <c r="S32" i="4" s="1"/>
  <c r="T32" i="4" s="1"/>
  <c r="U32" i="4" s="1"/>
  <c r="H32" i="4" s="1"/>
  <c r="G32" i="4" s="1"/>
  <c r="I32" i="4" l="1"/>
  <c r="J32" i="4" s="1"/>
  <c r="K32" i="4" l="1"/>
  <c r="M32" i="4" s="1"/>
  <c r="L32" i="4" l="1"/>
  <c r="N32" i="4"/>
  <c r="B33" i="4" s="1"/>
  <c r="C33" i="4" l="1"/>
  <c r="E33" i="4" s="1"/>
  <c r="F33" i="4" l="1"/>
  <c r="O33" i="4"/>
  <c r="Q33" i="4" l="1"/>
  <c r="R33" i="4" s="1"/>
  <c r="S33" i="4" s="1"/>
  <c r="T33" i="4" s="1"/>
  <c r="U33" i="4" s="1"/>
  <c r="H33" i="4" s="1"/>
  <c r="G33" i="4" s="1"/>
  <c r="I33" i="4" l="1"/>
  <c r="J33" i="4" s="1"/>
  <c r="K33" i="4" l="1"/>
  <c r="M33" i="4" s="1"/>
  <c r="L33" i="4" l="1"/>
  <c r="N33" i="4"/>
  <c r="B34" i="4" s="1"/>
  <c r="C34" i="4" s="1"/>
  <c r="E34" i="4" s="1"/>
  <c r="O34" i="4" l="1"/>
  <c r="F34" i="4"/>
  <c r="Q34" i="4" l="1"/>
  <c r="R34" i="4" s="1"/>
  <c r="S34" i="4" s="1"/>
  <c r="T34" i="4" s="1"/>
  <c r="U34" i="4" s="1"/>
  <c r="H34" i="4" s="1"/>
  <c r="G34" i="4" s="1"/>
  <c r="I34" i="4" l="1"/>
  <c r="J34" i="4" s="1"/>
  <c r="C10" i="5"/>
  <c r="E10" i="5" s="1"/>
  <c r="K34" i="4" l="1"/>
  <c r="M34" i="4" s="1"/>
  <c r="L34" i="4" l="1"/>
  <c r="N34" i="4"/>
  <c r="C7" i="5"/>
  <c r="E7" i="5" s="1"/>
  <c r="C6" i="5"/>
  <c r="E6" i="5" s="1"/>
  <c r="C5" i="5"/>
  <c r="E5" i="5" s="1"/>
  <c r="C9" i="5"/>
  <c r="E9" i="5" s="1"/>
  <c r="C14" i="5" l="1"/>
</calcChain>
</file>

<file path=xl/sharedStrings.xml><?xml version="1.0" encoding="utf-8"?>
<sst xmlns="http://schemas.openxmlformats.org/spreadsheetml/2006/main" count="247" uniqueCount="190">
  <si>
    <t>Hall of Echoing Mirrors - Act I Balance Model</t>
  </si>
  <si>
    <t>Time-based drain. How many runs to open the lab, and is run length growing? v0.1</t>
  </si>
  <si>
    <t>The question this answers</t>
  </si>
  <si>
    <t>Act I content is nearly complete. The open problem is whether the numbers produce a</t>
  </si>
  <si>
    <t>playable curve: runs that lengthen, progress that accumulates, and a lab reachable in</t>
  </si>
  <si>
    <t>a sensible number of loops. This model answers that without 20 playtest runs per change.</t>
  </si>
  <si>
    <t>How the model works</t>
  </si>
  <si>
    <t>Each run is split into OVERHEAD (redone every run: travel, the candle chain, gathering)</t>
  </si>
  <si>
    <t>and PROGRESS (accumulates between runs: explores, searches, one-time finds).</t>
  </si>
  <si>
    <t>Per run:  affordable time - overhead = progress time.  Cumulative progress time</t>
  </si>
  <si>
    <t>reaches the Act I requirement at some run number. That number is the answer.</t>
  </si>
  <si>
    <t>THE FAILURE MODE TO WATCH: if overhead &gt;= affordable time, progress per run is zero</t>
  </si>
  <si>
    <t>and the player is permanently stuck. The model flags this.</t>
  </si>
  <si>
    <t>Sheets</t>
  </si>
  <si>
    <t>Parameters      Drain, growth, XP curve, speed multipliers. Blue cells are yours.</t>
  </si>
  <si>
    <t>Route           The Act I action list, split into overhead and progress. Edit freely.</t>
  </si>
  <si>
    <t>Run Progression One row per run. Shows run length, progress, and when the lab opens.</t>
  </si>
  <si>
    <t>Checks          Pass/fail on the things that decide whether Act I plays well.</t>
  </si>
  <si>
    <t>What is approximate</t>
  </si>
  <si>
    <t>Within-run skill levels rise as she acts; the model uses the level at half a run's XP</t>
  </si>
  <si>
    <t>as the run's average. Good enough to find the curve, not exact.</t>
  </si>
  <si>
    <t>Action durations not stated in the build doc are marked and guessed. Correct them first.</t>
  </si>
  <si>
    <t>The model assumes the player runs the intended route. It does not simulate choice.</t>
  </si>
  <si>
    <t>Parameters</t>
  </si>
  <si>
    <t>Blue cells are inputs. Yellow-filled are the master dials.</t>
  </si>
  <si>
    <t>THE DRAIN</t>
  </si>
  <si>
    <t>Starting vitality</t>
  </si>
  <si>
    <t>Before any gathering</t>
  </si>
  <si>
    <t>Base drain per second</t>
  </si>
  <si>
    <t>At t=0</t>
  </si>
  <si>
    <t>Growth per minute</t>
  </si>
  <si>
    <t>Compounding. THE master pacing dial</t>
  </si>
  <si>
    <t>Candle reduction (multiplier)</t>
  </si>
  <si>
    <t>Applied for the rest of the run once lit</t>
  </si>
  <si>
    <t>Average drain multiplier</t>
  </si>
  <si>
    <t>Approximates candles being lit partway in, not at t=0</t>
  </si>
  <si>
    <t>XP rounding</t>
  </si>
  <si>
    <t>ceil</t>
  </si>
  <si>
    <t>ceil / round / none. ceil favours 1-3s actions by up to 33%</t>
  </si>
  <si>
    <t>XP AND LEVELS</t>
  </si>
  <si>
    <t>XP per base second</t>
  </si>
  <si>
    <t>XP = rate x the action's base duration</t>
  </si>
  <si>
    <t>First run-level costs</t>
  </si>
  <si>
    <t>Run levels reset each run</t>
  </si>
  <si>
    <t>First mastery level costs</t>
  </si>
  <si>
    <t>Mastery persists</t>
  </si>
  <si>
    <t>Run-level cost growth</t>
  </si>
  <si>
    <t>MUST be &gt;= speed per run level, or the XP loop runs away</t>
  </si>
  <si>
    <t>Speed per run level</t>
  </si>
  <si>
    <t>x1.05 each</t>
  </si>
  <si>
    <t>Speed per mastery level</t>
  </si>
  <si>
    <t>x1.01 each</t>
  </si>
  <si>
    <t>Mastery cap</t>
  </si>
  <si>
    <t>From the build</t>
  </si>
  <si>
    <t>Mastery cost growth</t>
  </si>
  <si>
    <t>Safe at 1% because mastery is capped</t>
  </si>
  <si>
    <t>PER-RUN GATHERING</t>
  </si>
  <si>
    <t>Average run-level speed across one run. Read it off the ramp table</t>
  </si>
  <si>
    <t>Wisp: restore amount</t>
  </si>
  <si>
    <t>Wisp: restore seconds</t>
  </si>
  <si>
    <t>So 1.0 vitality/sec while it runs</t>
  </si>
  <si>
    <t>Well: restore amount</t>
  </si>
  <si>
    <t>Well: restore seconds</t>
  </si>
  <si>
    <t>So 16.7 vitality/sec while it runs</t>
  </si>
  <si>
    <t>Wisp: seconds to gather</t>
  </si>
  <si>
    <t>Base, before speed</t>
  </si>
  <si>
    <t>Well: seconds to fill</t>
  </si>
  <si>
    <t>Tier in use</t>
  </si>
  <si>
    <t>wisp</t>
  </si>
  <si>
    <t>wisp / well. Swap it to see each tier's run-length ceiling</t>
  </si>
  <si>
    <t>Share of run spent gathering</t>
  </si>
  <si>
    <t>How much of the run she spends topping up</t>
  </si>
  <si>
    <t>Restore rate cap</t>
  </si>
  <si>
    <t>Vitality per second while one item runs. Only one at a time, so this is a hard ceiling.</t>
  </si>
  <si>
    <t>TARGETS</t>
  </si>
  <si>
    <t>Target runs to open the lab</t>
  </si>
  <si>
    <t>Budget one payoff per run (GDD 14.20)</t>
  </si>
  <si>
    <t>Target run length - early (s)</t>
  </si>
  <si>
    <t>3 minutes</t>
  </si>
  <si>
    <t>Target run length - late (s)</t>
  </si>
  <si>
    <t>7 minutes</t>
  </si>
  <si>
    <t>Minimum progress per run (s)</t>
  </si>
  <si>
    <t>Below this a run feels dead</t>
  </si>
  <si>
    <t>Run-level feedback exponent</t>
  </si>
  <si>
    <t>ln(1+speed per run level) / ln(1+run-level cost growth). MUST stay at or below 1.00.</t>
  </si>
  <si>
    <t>The Act I Route</t>
  </si>
  <si>
    <t>Every action needed to open the lab. OVERHEAD is redone every run; PROGRESS accumulates between runs. Durations marked GUESS are not in the build doc - correct them first.</t>
  </si>
  <si>
    <t>Action</t>
  </si>
  <si>
    <t>Kind</t>
  </si>
  <si>
    <t>Skill</t>
  </si>
  <si>
    <t>Base secs</t>
  </si>
  <si>
    <t>Count</t>
  </si>
  <si>
    <t>Repeats</t>
  </si>
  <si>
    <t>Base total</t>
  </si>
  <si>
    <t>XP each</t>
  </si>
  <si>
    <t>XP total</t>
  </si>
  <si>
    <t>Source</t>
  </si>
  <si>
    <t>Note</t>
  </si>
  <si>
    <t>Travel: smoky mirror -&gt; A Dark Hall</t>
  </si>
  <si>
    <t>Overhead</t>
  </si>
  <si>
    <t>Wayfinding</t>
  </si>
  <si>
    <t>GUESS</t>
  </si>
  <si>
    <t>not in build doc</t>
  </si>
  <si>
    <t>Travel: A Dark Hall -&gt; left corridor</t>
  </si>
  <si>
    <t>Travel: left corridor -&gt; the dark</t>
  </si>
  <si>
    <t>Travel: back to A Dark Hall</t>
  </si>
  <si>
    <t>return leg</t>
  </si>
  <si>
    <t>Travel: A Dark Hall -&gt; right corridor</t>
  </si>
  <si>
    <t>Instantiate flint and steel</t>
  </si>
  <si>
    <t>Instantiate</t>
  </si>
  <si>
    <t>build</t>
  </si>
  <si>
    <t>once a run</t>
  </si>
  <si>
    <t>Instantiate a candle</t>
  </si>
  <si>
    <t>repeats to 15</t>
  </si>
  <si>
    <t>Light the candles</t>
  </si>
  <si>
    <t>drain x0.8</t>
  </si>
  <si>
    <t>Gather a wisp</t>
  </si>
  <si>
    <t>Gather</t>
  </si>
  <si>
    <t>Gathering</t>
  </si>
  <si>
    <t>time share in Parameters B21</t>
  </si>
  <si>
    <t>Instantiate an empty phial</t>
  </si>
  <si>
    <t>Fill a bottled well</t>
  </si>
  <si>
    <t>needs the phial</t>
  </si>
  <si>
    <t>Explore the smoky mirror</t>
  </si>
  <si>
    <t>Learn</t>
  </si>
  <si>
    <t>redone until known by heart</t>
  </si>
  <si>
    <t>Explore the left corridor</t>
  </si>
  <si>
    <t>Explore the dark</t>
  </si>
  <si>
    <t>Explore the right corridor</t>
  </si>
  <si>
    <t>Search the right corridor</t>
  </si>
  <si>
    <t>Progress</t>
  </si>
  <si>
    <t>finds the ring</t>
  </si>
  <si>
    <t>Take Roland's ring</t>
  </si>
  <si>
    <t>Travel: right corridor -&gt; the lab</t>
  </si>
  <si>
    <t>the long hall</t>
  </si>
  <si>
    <t>XP:</t>
  </si>
  <si>
    <t xml:space="preserve">   of which re-exploring (Learn)</t>
  </si>
  <si>
    <t>XP BY SKILL</t>
  </si>
  <si>
    <t>Every run (overhead+gather)</t>
  </si>
  <si>
    <t>Content (progress + learn)</t>
  </si>
  <si>
    <t>Share of per-run XP</t>
  </si>
  <si>
    <t>Invoking</t>
  </si>
  <si>
    <t>Studying</t>
  </si>
  <si>
    <t>A skill taking most of the per-run XP levels fastest, so its actions get cheap first.</t>
  </si>
  <si>
    <t>A skill at 0% never levels at all - either it has no Act I content, or the split is wrong.</t>
  </si>
  <si>
    <t>Overhead is paid EVERY run. Progress is the Act I content, paid once across all runs.</t>
  </si>
  <si>
    <t>Run Progression</t>
  </si>
  <si>
    <t>One row per run. Skills carry over as mastery, so each run is faster than the last. The lab opens on the run where cumulative progress reaches 100%.</t>
  </si>
  <si>
    <t>Run</t>
  </si>
  <si>
    <t>Cum. mastery XP</t>
  </si>
  <si>
    <t>Mastery lvl</t>
  </si>
  <si>
    <t>Run-lvl ramp</t>
  </si>
  <si>
    <t>Speed x</t>
  </si>
  <si>
    <t>Gather share</t>
  </si>
  <si>
    <t>Vitality used</t>
  </si>
  <si>
    <t>Run length s</t>
  </si>
  <si>
    <t>Overhead s</t>
  </si>
  <si>
    <t>Progress s this run</t>
  </si>
  <si>
    <t>Cum. progress s</t>
  </si>
  <si>
    <t>% of Act I</t>
  </si>
  <si>
    <t>Status</t>
  </si>
  <si>
    <t>Checks</t>
  </si>
  <si>
    <t>Each row is a thing that decides whether Act I plays well. CHECK means a balance problem.</t>
  </si>
  <si>
    <t>#</t>
  </si>
  <si>
    <t>Question</t>
  </si>
  <si>
    <t>Value</t>
  </si>
  <si>
    <t>Wanted</t>
  </si>
  <si>
    <t>Verdict</t>
  </si>
  <si>
    <t>Is the player ever stuck? (overhead &gt;= run length)</t>
  </si>
  <si>
    <t>zero</t>
  </si>
  <si>
    <t>How many runs to open the lab?</t>
  </si>
  <si>
    <t>How many dead runs (progress below the floor)?</t>
  </si>
  <si>
    <t>First run length (seconds)</t>
  </si>
  <si>
    <t>Run length at the lab (seconds)</t>
  </si>
  <si>
    <t>between the targets</t>
  </si>
  <si>
    <t>Does run length actually grow? (last vs first)</t>
  </si>
  <si>
    <t>above zero</t>
  </si>
  <si>
    <t>Overhead as a share of run 1</t>
  </si>
  <si>
    <t>below 70%</t>
  </si>
  <si>
    <t>Speed multiplier by run 10</t>
  </si>
  <si>
    <t>1.5x or more</t>
  </si>
  <si>
    <t>Checks failing</t>
  </si>
  <si>
    <t>WHICH DIAL FIXES WHAT</t>
  </si>
  <si>
    <t>1  STUCK: overhead is too big. Cut travel times, cut the candle count, or raise starting vitality.</t>
  </si>
  <si>
    <t>2  Too many runs to the lab: cut the Progress totals on the Route sheet, or speed up explores.</t>
  </si>
  <si>
    <t>3  Dead runs: each run must buy at least a little progress. Same fixes as 1.</t>
  </si>
  <si>
    <t>4-5  Run length wrong: growth per minute (Parameters B7) is the master dial, not item strength.</t>
  </si>
  <si>
    <t>6  Run length not growing: the XP curve is too flat. Raise XP per action or lower level costs.</t>
  </si>
  <si>
    <t>7  Overhead over 70%: the player spends the run equipping and never playing. Cut the chain.</t>
  </si>
  <si>
    <t>8  Speed too flat by run 10: mastery is not paying, so the 'number go up' pleasure is absent.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</si>
</sst>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color rgb="FF666666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color rgb="FFFFFFFF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2E2A4A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E8E6F0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0" borderId="0" xfId="0" applyFont="1"/>
    <xf numFmtId="9" fontId="6" fillId="3" borderId="0" xfId="0" applyNumberFormat="1" applyFont="1" applyFill="1"/>
    <xf numFmtId="0" fontId="6" fillId="3" borderId="0" xfId="0" applyFont="1" applyFill="1"/>
    <xf numFmtId="164" fontId="6" fillId="3" borderId="0" xfId="0" applyNumberFormat="1" applyFont="1" applyFill="1"/>
    <xf numFmtId="9" fontId="6" fillId="0" borderId="0" xfId="0" applyNumberFormat="1" applyFont="1"/>
    <xf numFmtId="164" fontId="6" fillId="0" borderId="0" xfId="0" applyNumberFormat="1" applyFont="1"/>
    <xf numFmtId="2" fontId="6" fillId="3" borderId="0" xfId="0" applyNumberFormat="1" applyFont="1" applyFill="1"/>
    <xf numFmtId="165" fontId="6" fillId="0" borderId="0" xfId="0" applyNumberFormat="1" applyFont="1"/>
    <xf numFmtId="165" fontId="3" fillId="0" borderId="0" xfId="0" applyNumberFormat="1" applyFont="1"/>
    <xf numFmtId="2" fontId="3" fillId="3" borderId="0" xfId="0" applyNumberFormat="1" applyFont="1" applyFill="1"/>
    <xf numFmtId="0" fontId="5" fillId="2" borderId="0" xfId="0" applyFont="1" applyFill="1" applyAlignment="1">
      <alignment horizontal="center" wrapText="1"/>
    </xf>
    <xf numFmtId="0" fontId="3" fillId="0" borderId="1" xfId="0" applyFont="1" applyBorder="1"/>
    <xf numFmtId="0" fontId="4" fillId="0" borderId="1" xfId="0" applyFont="1" applyBorder="1"/>
    <xf numFmtId="0" fontId="6" fillId="0" borderId="1" xfId="0" applyFont="1" applyBorder="1"/>
    <xf numFmtId="0" fontId="2" fillId="0" borderId="1" xfId="0" applyFont="1" applyBorder="1"/>
    <xf numFmtId="0" fontId="4" fillId="3" borderId="0" xfId="0" applyFont="1" applyFill="1"/>
    <xf numFmtId="0" fontId="4" fillId="4" borderId="0" xfId="0" applyFont="1" applyFill="1" applyAlignment="1">
      <alignment horizontal="center" wrapText="1"/>
    </xf>
    <xf numFmtId="9" fontId="3" fillId="0" borderId="1" xfId="0" applyNumberFormat="1" applyFont="1" applyBorder="1"/>
    <xf numFmtId="165" fontId="3" fillId="0" borderId="1" xfId="0" applyNumberFormat="1" applyFont="1" applyBorder="1"/>
    <xf numFmtId="165" fontId="7" fillId="0" borderId="1" xfId="0" applyNumberFormat="1" applyFont="1" applyBorder="1"/>
    <xf numFmtId="2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8E6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zoomScaleNormal="100" workbookViewId="0"/>
  </sheetViews>
  <sheetFormatPr defaultColWidth="8.7109375" defaultRowHeight="15" x14ac:dyDescent="0.25"/>
  <cols>
    <col min="1" max="1" width="96" customWidth="1"/>
  </cols>
  <sheetData>
    <row r="1" spans="1:1" ht="18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/>
    </row>
    <row r="4" spans="1:1" x14ac:dyDescent="0.25">
      <c r="A4" s="4" t="s">
        <v>2</v>
      </c>
    </row>
    <row r="5" spans="1:1" x14ac:dyDescent="0.25">
      <c r="A5" s="3" t="s">
        <v>3</v>
      </c>
    </row>
    <row r="6" spans="1:1" x14ac:dyDescent="0.25">
      <c r="A6" s="3" t="s">
        <v>4</v>
      </c>
    </row>
    <row r="7" spans="1:1" x14ac:dyDescent="0.25">
      <c r="A7" s="3" t="s">
        <v>5</v>
      </c>
    </row>
    <row r="8" spans="1:1" x14ac:dyDescent="0.25">
      <c r="A8" s="3"/>
    </row>
    <row r="9" spans="1:1" x14ac:dyDescent="0.25">
      <c r="A9" s="4" t="s">
        <v>6</v>
      </c>
    </row>
    <row r="10" spans="1:1" x14ac:dyDescent="0.25">
      <c r="A10" s="3" t="s">
        <v>7</v>
      </c>
    </row>
    <row r="11" spans="1:1" x14ac:dyDescent="0.25">
      <c r="A11" s="3" t="s">
        <v>8</v>
      </c>
    </row>
    <row r="12" spans="1:1" x14ac:dyDescent="0.25">
      <c r="A12" s="3" t="s">
        <v>9</v>
      </c>
    </row>
    <row r="13" spans="1:1" x14ac:dyDescent="0.25">
      <c r="A13" s="3" t="s">
        <v>10</v>
      </c>
    </row>
    <row r="14" spans="1:1" x14ac:dyDescent="0.25">
      <c r="A14" s="3"/>
    </row>
    <row r="15" spans="1:1" x14ac:dyDescent="0.25">
      <c r="A15" s="4" t="s">
        <v>11</v>
      </c>
    </row>
    <row r="16" spans="1:1" x14ac:dyDescent="0.25">
      <c r="A16" s="3" t="s">
        <v>12</v>
      </c>
    </row>
    <row r="17" spans="1:1" x14ac:dyDescent="0.25">
      <c r="A17" s="3"/>
    </row>
    <row r="18" spans="1:1" x14ac:dyDescent="0.25">
      <c r="A18" s="4" t="s">
        <v>13</v>
      </c>
    </row>
    <row r="19" spans="1:1" x14ac:dyDescent="0.25">
      <c r="A19" s="3" t="s">
        <v>14</v>
      </c>
    </row>
    <row r="20" spans="1:1" x14ac:dyDescent="0.25">
      <c r="A20" s="3" t="s">
        <v>15</v>
      </c>
    </row>
    <row r="21" spans="1:1" x14ac:dyDescent="0.25">
      <c r="A21" s="3" t="s">
        <v>16</v>
      </c>
    </row>
    <row r="22" spans="1:1" x14ac:dyDescent="0.25">
      <c r="A22" s="3" t="s">
        <v>17</v>
      </c>
    </row>
    <row r="23" spans="1:1" x14ac:dyDescent="0.25">
      <c r="A23" s="3"/>
    </row>
    <row r="24" spans="1:1" x14ac:dyDescent="0.25">
      <c r="A24" s="4" t="s">
        <v>18</v>
      </c>
    </row>
    <row r="25" spans="1:1" x14ac:dyDescent="0.25">
      <c r="A25" s="3" t="s">
        <v>19</v>
      </c>
    </row>
    <row r="26" spans="1:1" x14ac:dyDescent="0.25">
      <c r="A26" s="3" t="s">
        <v>20</v>
      </c>
    </row>
    <row r="27" spans="1:1" x14ac:dyDescent="0.25">
      <c r="A27" s="3" t="s">
        <v>21</v>
      </c>
    </row>
    <row r="28" spans="1:1" x14ac:dyDescent="0.25">
      <c r="A28" s="3" t="s">
        <v>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9"/>
  <sheetViews>
    <sheetView tabSelected="1" topLeftCell="A8" zoomScaleNormal="100" workbookViewId="0">
      <selection activeCell="B16" sqref="B16"/>
    </sheetView>
  </sheetViews>
  <sheetFormatPr defaultColWidth="8.7109375" defaultRowHeight="15" x14ac:dyDescent="0.25"/>
  <cols>
    <col min="1" max="1" width="32" customWidth="1"/>
    <col min="2" max="2" width="12" customWidth="1"/>
    <col min="3" max="3" width="62" customWidth="1"/>
  </cols>
  <sheetData>
    <row r="1" spans="1:3" ht="18" x14ac:dyDescent="0.25">
      <c r="A1" s="1" t="s">
        <v>23</v>
      </c>
    </row>
    <row r="2" spans="1:3" x14ac:dyDescent="0.25">
      <c r="A2" s="2" t="s">
        <v>24</v>
      </c>
    </row>
    <row r="4" spans="1:3" x14ac:dyDescent="0.25">
      <c r="A4" s="5" t="s">
        <v>25</v>
      </c>
    </row>
    <row r="5" spans="1:3" x14ac:dyDescent="0.25">
      <c r="A5" s="4" t="s">
        <v>26</v>
      </c>
      <c r="B5" s="6">
        <v>100</v>
      </c>
      <c r="C5" s="2" t="s">
        <v>27</v>
      </c>
    </row>
    <row r="6" spans="1:3" x14ac:dyDescent="0.25">
      <c r="A6" s="4" t="s">
        <v>28</v>
      </c>
      <c r="B6" s="6">
        <v>0.5</v>
      </c>
      <c r="C6" s="2" t="s">
        <v>29</v>
      </c>
    </row>
    <row r="7" spans="1:3" x14ac:dyDescent="0.25">
      <c r="A7" s="4" t="s">
        <v>30</v>
      </c>
      <c r="B7" s="7">
        <v>0.25</v>
      </c>
      <c r="C7" s="2" t="s">
        <v>31</v>
      </c>
    </row>
    <row r="8" spans="1:3" x14ac:dyDescent="0.25">
      <c r="A8" s="4" t="s">
        <v>32</v>
      </c>
      <c r="B8" s="6">
        <v>0.8</v>
      </c>
      <c r="C8" s="2" t="s">
        <v>33</v>
      </c>
    </row>
    <row r="9" spans="1:3" x14ac:dyDescent="0.25">
      <c r="A9" s="4" t="s">
        <v>34</v>
      </c>
      <c r="B9" s="6">
        <f>1-(1-B8)*0.7</f>
        <v>0.8600000000000001</v>
      </c>
      <c r="C9" s="2" t="s">
        <v>35</v>
      </c>
    </row>
    <row r="10" spans="1:3" x14ac:dyDescent="0.25">
      <c r="A10" s="4" t="s">
        <v>36</v>
      </c>
      <c r="B10" s="6" t="s">
        <v>37</v>
      </c>
      <c r="C10" s="2" t="s">
        <v>38</v>
      </c>
    </row>
    <row r="11" spans="1:3" x14ac:dyDescent="0.25">
      <c r="A11" s="5" t="s">
        <v>39</v>
      </c>
    </row>
    <row r="12" spans="1:3" x14ac:dyDescent="0.25">
      <c r="A12" s="4" t="s">
        <v>40</v>
      </c>
      <c r="B12" s="8">
        <v>0.75</v>
      </c>
      <c r="C12" s="2" t="s">
        <v>41</v>
      </c>
    </row>
    <row r="13" spans="1:3" x14ac:dyDescent="0.25">
      <c r="A13" s="4" t="s">
        <v>42</v>
      </c>
      <c r="B13" s="6">
        <v>10</v>
      </c>
      <c r="C13" s="2" t="s">
        <v>43</v>
      </c>
    </row>
    <row r="14" spans="1:3" x14ac:dyDescent="0.25">
      <c r="A14" s="4" t="s">
        <v>44</v>
      </c>
      <c r="B14" s="6">
        <v>20</v>
      </c>
      <c r="C14" s="2" t="s">
        <v>45</v>
      </c>
    </row>
    <row r="15" spans="1:3" x14ac:dyDescent="0.25">
      <c r="A15" s="4" t="s">
        <v>46</v>
      </c>
      <c r="B15" s="9">
        <v>0.09</v>
      </c>
      <c r="C15" s="2" t="s">
        <v>47</v>
      </c>
    </row>
    <row r="16" spans="1:3" x14ac:dyDescent="0.25">
      <c r="A16" s="4" t="s">
        <v>48</v>
      </c>
      <c r="B16" s="10">
        <v>0.05</v>
      </c>
      <c r="C16" s="2" t="s">
        <v>49</v>
      </c>
    </row>
    <row r="17" spans="1:3" x14ac:dyDescent="0.25">
      <c r="A17" s="4" t="s">
        <v>50</v>
      </c>
      <c r="B17" s="10">
        <v>0.01</v>
      </c>
      <c r="C17" s="2" t="s">
        <v>51</v>
      </c>
    </row>
    <row r="18" spans="1:3" x14ac:dyDescent="0.25">
      <c r="A18" s="4" t="s">
        <v>52</v>
      </c>
      <c r="B18" s="6">
        <v>100</v>
      </c>
      <c r="C18" s="2" t="s">
        <v>53</v>
      </c>
    </row>
    <row r="19" spans="1:3" x14ac:dyDescent="0.25">
      <c r="A19" s="4" t="s">
        <v>54</v>
      </c>
      <c r="B19" s="11">
        <v>0.01</v>
      </c>
      <c r="C19" s="2" t="s">
        <v>55</v>
      </c>
    </row>
    <row r="20" spans="1:3" x14ac:dyDescent="0.25">
      <c r="A20" s="5" t="s">
        <v>56</v>
      </c>
      <c r="B20" s="12">
        <v>1.6</v>
      </c>
      <c r="C20" s="2" t="s">
        <v>57</v>
      </c>
    </row>
    <row r="21" spans="1:3" x14ac:dyDescent="0.25">
      <c r="A21" s="4" t="s">
        <v>58</v>
      </c>
      <c r="B21" s="6">
        <v>5</v>
      </c>
      <c r="C21" s="2"/>
    </row>
    <row r="22" spans="1:3" x14ac:dyDescent="0.25">
      <c r="A22" s="4" t="s">
        <v>59</v>
      </c>
      <c r="B22" s="6">
        <v>5</v>
      </c>
      <c r="C22" s="2" t="s">
        <v>60</v>
      </c>
    </row>
    <row r="23" spans="1:3" x14ac:dyDescent="0.25">
      <c r="A23" s="4" t="s">
        <v>61</v>
      </c>
      <c r="B23" s="6">
        <v>15</v>
      </c>
      <c r="C23" s="2"/>
    </row>
    <row r="24" spans="1:3" x14ac:dyDescent="0.25">
      <c r="A24" s="4" t="s">
        <v>62</v>
      </c>
      <c r="B24" s="6">
        <v>7</v>
      </c>
      <c r="C24" s="2" t="s">
        <v>63</v>
      </c>
    </row>
    <row r="25" spans="1:3" x14ac:dyDescent="0.25">
      <c r="A25" s="4" t="s">
        <v>64</v>
      </c>
      <c r="B25" s="13">
        <v>5</v>
      </c>
      <c r="C25" s="2" t="s">
        <v>65</v>
      </c>
    </row>
    <row r="26" spans="1:3" x14ac:dyDescent="0.25">
      <c r="A26" s="4" t="s">
        <v>66</v>
      </c>
      <c r="B26" s="13">
        <v>15</v>
      </c>
      <c r="C26" s="2" t="s">
        <v>65</v>
      </c>
    </row>
    <row r="28" spans="1:3" x14ac:dyDescent="0.25">
      <c r="A28" s="4" t="s">
        <v>67</v>
      </c>
      <c r="B28" s="8" t="s">
        <v>68</v>
      </c>
      <c r="C28" s="2" t="s">
        <v>69</v>
      </c>
    </row>
    <row r="29" spans="1:3" x14ac:dyDescent="0.25">
      <c r="A29" s="4" t="s">
        <v>70</v>
      </c>
      <c r="B29" s="7">
        <v>0.25</v>
      </c>
      <c r="C29" s="2" t="s">
        <v>71</v>
      </c>
    </row>
    <row r="30" spans="1:3" x14ac:dyDescent="0.25">
      <c r="A30" s="4" t="s">
        <v>72</v>
      </c>
      <c r="B30" s="14">
        <f>IF(B28="well",B23/B24,B21/B22)</f>
        <v>1</v>
      </c>
      <c r="C30" s="2" t="s">
        <v>73</v>
      </c>
    </row>
    <row r="31" spans="1:3" x14ac:dyDescent="0.25">
      <c r="A31" s="4"/>
    </row>
    <row r="33" spans="1:3" x14ac:dyDescent="0.25">
      <c r="A33" s="5" t="s">
        <v>74</v>
      </c>
    </row>
    <row r="34" spans="1:3" x14ac:dyDescent="0.25">
      <c r="A34" s="4" t="s">
        <v>75</v>
      </c>
      <c r="B34" s="8">
        <v>14</v>
      </c>
      <c r="C34" s="2" t="s">
        <v>76</v>
      </c>
    </row>
    <row r="35" spans="1:3" x14ac:dyDescent="0.25">
      <c r="A35" s="4" t="s">
        <v>77</v>
      </c>
      <c r="B35" s="6">
        <v>300</v>
      </c>
      <c r="C35" s="2" t="s">
        <v>78</v>
      </c>
    </row>
    <row r="36" spans="1:3" x14ac:dyDescent="0.25">
      <c r="A36" s="4" t="s">
        <v>79</v>
      </c>
      <c r="B36" s="6">
        <v>600</v>
      </c>
      <c r="C36" s="2" t="s">
        <v>80</v>
      </c>
    </row>
    <row r="37" spans="1:3" x14ac:dyDescent="0.25">
      <c r="A37" s="4" t="s">
        <v>81</v>
      </c>
      <c r="B37" s="6">
        <v>10</v>
      </c>
      <c r="C37" s="2" t="s">
        <v>82</v>
      </c>
    </row>
    <row r="39" spans="1:3" x14ac:dyDescent="0.25">
      <c r="A39" t="s">
        <v>83</v>
      </c>
      <c r="B39" s="15">
        <f>LN(1+B16)/LN(1+B15)</f>
        <v>0.56615767533351524</v>
      </c>
      <c r="C39" s="2" t="s">
        <v>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8"/>
  <sheetViews>
    <sheetView zoomScaleNormal="100" workbookViewId="0">
      <pane ySplit="4" topLeftCell="A11" activePane="bottomLeft" state="frozen"/>
      <selection pane="bottomLeft" activeCell="D7" sqref="D7"/>
    </sheetView>
  </sheetViews>
  <sheetFormatPr defaultColWidth="8.7109375" defaultRowHeight="15" x14ac:dyDescent="0.25"/>
  <cols>
    <col min="1" max="1" width="38" customWidth="1"/>
    <col min="2" max="2" width="11" customWidth="1"/>
    <col min="3" max="3" width="12" customWidth="1"/>
    <col min="4" max="4" width="10" customWidth="1"/>
    <col min="5" max="5" width="7" customWidth="1"/>
    <col min="6" max="6" width="9" customWidth="1"/>
    <col min="7" max="7" width="11" customWidth="1"/>
    <col min="8" max="10" width="9" customWidth="1"/>
    <col min="11" max="11" width="28" customWidth="1"/>
  </cols>
  <sheetData>
    <row r="1" spans="1:11" ht="18" x14ac:dyDescent="0.25">
      <c r="A1" s="1" t="s">
        <v>85</v>
      </c>
    </row>
    <row r="2" spans="1:11" x14ac:dyDescent="0.25">
      <c r="A2" s="2" t="s">
        <v>86</v>
      </c>
    </row>
    <row r="4" spans="1:11" ht="30" x14ac:dyDescent="0.25">
      <c r="A4" s="16" t="s">
        <v>87</v>
      </c>
      <c r="B4" s="16" t="s">
        <v>88</v>
      </c>
      <c r="C4" s="16" t="s">
        <v>89</v>
      </c>
      <c r="D4" s="16" t="s">
        <v>90</v>
      </c>
      <c r="E4" s="16" t="s">
        <v>91</v>
      </c>
      <c r="F4" s="16" t="s">
        <v>92</v>
      </c>
      <c r="G4" s="16" t="s">
        <v>93</v>
      </c>
      <c r="H4" s="16" t="s">
        <v>94</v>
      </c>
      <c r="I4" s="16" t="s">
        <v>95</v>
      </c>
      <c r="J4" s="16" t="s">
        <v>96</v>
      </c>
      <c r="K4" s="16" t="s">
        <v>97</v>
      </c>
    </row>
    <row r="5" spans="1:11" x14ac:dyDescent="0.25">
      <c r="A5" s="17" t="s">
        <v>98</v>
      </c>
      <c r="B5" s="18" t="s">
        <v>99</v>
      </c>
      <c r="C5" s="19" t="s">
        <v>100</v>
      </c>
      <c r="D5" s="19">
        <v>30</v>
      </c>
      <c r="E5" s="19">
        <v>1</v>
      </c>
      <c r="F5" s="19">
        <v>1</v>
      </c>
      <c r="G5" s="17">
        <f t="shared" ref="G5:G22" si="0">D5*E5*F5</f>
        <v>30</v>
      </c>
      <c r="H5" s="17">
        <f>IF(Parameters!$B$10="none",Parameters!$B$12*D5,IF(Parameters!$B$10="round",ROUND(Parameters!$B$12*D5,0),ROUNDUP(Parameters!$B$12*D5,0)))</f>
        <v>23</v>
      </c>
      <c r="I5" s="17">
        <f t="shared" ref="I5:I22" si="1">H5*E5*F5</f>
        <v>23</v>
      </c>
      <c r="J5" s="20" t="s">
        <v>101</v>
      </c>
      <c r="K5" s="20" t="s">
        <v>102</v>
      </c>
    </row>
    <row r="6" spans="1:11" x14ac:dyDescent="0.25">
      <c r="A6" s="17" t="s">
        <v>103</v>
      </c>
      <c r="B6" s="18" t="s">
        <v>99</v>
      </c>
      <c r="C6" s="19" t="s">
        <v>100</v>
      </c>
      <c r="D6" s="19">
        <v>30</v>
      </c>
      <c r="E6" s="19">
        <v>1</v>
      </c>
      <c r="F6" s="19">
        <v>1</v>
      </c>
      <c r="G6" s="17">
        <f t="shared" si="0"/>
        <v>30</v>
      </c>
      <c r="H6" s="17">
        <f>IF(Parameters!$B$10="none",Parameters!$B$12*D6,IF(Parameters!$B$10="round",ROUND(Parameters!$B$12*D6,0),ROUNDUP(Parameters!$B$12*D6,0)))</f>
        <v>23</v>
      </c>
      <c r="I6" s="17">
        <f t="shared" si="1"/>
        <v>23</v>
      </c>
      <c r="J6" s="20" t="s">
        <v>101</v>
      </c>
      <c r="K6" s="20"/>
    </row>
    <row r="7" spans="1:11" x14ac:dyDescent="0.25">
      <c r="A7" s="17" t="s">
        <v>104</v>
      </c>
      <c r="B7" s="18" t="s">
        <v>99</v>
      </c>
      <c r="C7" s="19" t="s">
        <v>100</v>
      </c>
      <c r="D7" s="19">
        <v>30</v>
      </c>
      <c r="E7" s="19">
        <v>1</v>
      </c>
      <c r="F7" s="19">
        <v>1</v>
      </c>
      <c r="G7" s="17">
        <f t="shared" si="0"/>
        <v>30</v>
      </c>
      <c r="H7" s="17">
        <f>IF(Parameters!$B$10="none",Parameters!$B$12*D7,IF(Parameters!$B$10="round",ROUND(Parameters!$B$12*D7,0),ROUNDUP(Parameters!$B$12*D7,0)))</f>
        <v>23</v>
      </c>
      <c r="I7" s="17">
        <f t="shared" si="1"/>
        <v>23</v>
      </c>
      <c r="J7" s="20" t="s">
        <v>101</v>
      </c>
      <c r="K7" s="20"/>
    </row>
    <row r="8" spans="1:11" x14ac:dyDescent="0.25">
      <c r="A8" s="17" t="s">
        <v>105</v>
      </c>
      <c r="B8" s="18" t="s">
        <v>99</v>
      </c>
      <c r="C8" s="19" t="s">
        <v>100</v>
      </c>
      <c r="D8" s="19">
        <v>30</v>
      </c>
      <c r="E8" s="19">
        <v>1</v>
      </c>
      <c r="F8" s="19">
        <v>1</v>
      </c>
      <c r="G8" s="17">
        <f t="shared" si="0"/>
        <v>30</v>
      </c>
      <c r="H8" s="17">
        <f>IF(Parameters!$B$10="none",Parameters!$B$12*D8,IF(Parameters!$B$10="round",ROUND(Parameters!$B$12*D8,0),ROUNDUP(Parameters!$B$12*D8,0)))</f>
        <v>23</v>
      </c>
      <c r="I8" s="17">
        <f t="shared" si="1"/>
        <v>23</v>
      </c>
      <c r="J8" s="20" t="s">
        <v>101</v>
      </c>
      <c r="K8" s="20" t="s">
        <v>106</v>
      </c>
    </row>
    <row r="9" spans="1:11" x14ac:dyDescent="0.25">
      <c r="A9" s="17" t="s">
        <v>107</v>
      </c>
      <c r="B9" s="18" t="s">
        <v>99</v>
      </c>
      <c r="C9" s="19" t="s">
        <v>100</v>
      </c>
      <c r="D9" s="19">
        <v>30</v>
      </c>
      <c r="E9" s="19">
        <v>1</v>
      </c>
      <c r="F9" s="19">
        <v>1</v>
      </c>
      <c r="G9" s="17">
        <f t="shared" si="0"/>
        <v>30</v>
      </c>
      <c r="H9" s="17">
        <f>IF(Parameters!$B$10="none",Parameters!$B$12*D9,IF(Parameters!$B$10="round",ROUND(Parameters!$B$12*D9,0),ROUNDUP(Parameters!$B$12*D9,0)))</f>
        <v>23</v>
      </c>
      <c r="I9" s="17">
        <f t="shared" si="1"/>
        <v>23</v>
      </c>
      <c r="J9" s="20" t="s">
        <v>101</v>
      </c>
      <c r="K9" s="20"/>
    </row>
    <row r="10" spans="1:11" x14ac:dyDescent="0.25">
      <c r="A10" s="17" t="s">
        <v>108</v>
      </c>
      <c r="B10" s="18" t="s">
        <v>99</v>
      </c>
      <c r="C10" s="19" t="s">
        <v>109</v>
      </c>
      <c r="D10" s="19">
        <v>60</v>
      </c>
      <c r="E10" s="19">
        <v>1</v>
      </c>
      <c r="F10" s="19">
        <v>1</v>
      </c>
      <c r="G10" s="17">
        <f t="shared" si="0"/>
        <v>60</v>
      </c>
      <c r="H10" s="17">
        <f>IF(Parameters!$B$10="none",Parameters!$B$12*D10,IF(Parameters!$B$10="round",ROUND(Parameters!$B$12*D10,0),ROUNDUP(Parameters!$B$12*D10,0)))</f>
        <v>45</v>
      </c>
      <c r="I10" s="17">
        <f t="shared" si="1"/>
        <v>45</v>
      </c>
      <c r="J10" s="20" t="s">
        <v>110</v>
      </c>
      <c r="K10" s="20" t="s">
        <v>111</v>
      </c>
    </row>
    <row r="11" spans="1:11" x14ac:dyDescent="0.25">
      <c r="A11" s="17" t="s">
        <v>112</v>
      </c>
      <c r="B11" s="18" t="s">
        <v>99</v>
      </c>
      <c r="C11" s="19" t="s">
        <v>109</v>
      </c>
      <c r="D11" s="19">
        <v>4</v>
      </c>
      <c r="E11" s="19">
        <v>15</v>
      </c>
      <c r="F11" s="19">
        <v>1</v>
      </c>
      <c r="G11" s="17">
        <f t="shared" si="0"/>
        <v>60</v>
      </c>
      <c r="H11" s="17">
        <f>IF(Parameters!$B$10="none",Parameters!$B$12*D11,IF(Parameters!$B$10="round",ROUND(Parameters!$B$12*D11,0),ROUNDUP(Parameters!$B$12*D11,0)))</f>
        <v>3</v>
      </c>
      <c r="I11" s="17">
        <f t="shared" si="1"/>
        <v>45</v>
      </c>
      <c r="J11" s="20" t="s">
        <v>110</v>
      </c>
      <c r="K11" s="20" t="s">
        <v>113</v>
      </c>
    </row>
    <row r="12" spans="1:11" x14ac:dyDescent="0.25">
      <c r="A12" s="17" t="s">
        <v>114</v>
      </c>
      <c r="B12" s="18" t="s">
        <v>99</v>
      </c>
      <c r="C12" s="19" t="s">
        <v>109</v>
      </c>
      <c r="D12" s="19">
        <v>45</v>
      </c>
      <c r="E12" s="19">
        <v>1</v>
      </c>
      <c r="F12" s="19">
        <v>1</v>
      </c>
      <c r="G12" s="17">
        <f t="shared" si="0"/>
        <v>45</v>
      </c>
      <c r="H12" s="17">
        <f>IF(Parameters!$B$10="none",Parameters!$B$12*D12,IF(Parameters!$B$10="round",ROUND(Parameters!$B$12*D12,0),ROUNDUP(Parameters!$B$12*D12,0)))</f>
        <v>34</v>
      </c>
      <c r="I12" s="17">
        <f t="shared" si="1"/>
        <v>34</v>
      </c>
      <c r="J12" s="20" t="s">
        <v>110</v>
      </c>
      <c r="K12" s="20" t="s">
        <v>115</v>
      </c>
    </row>
    <row r="13" spans="1:11" x14ac:dyDescent="0.25">
      <c r="A13" s="17" t="s">
        <v>116</v>
      </c>
      <c r="B13" s="18" t="s">
        <v>117</v>
      </c>
      <c r="C13" s="19" t="s">
        <v>118</v>
      </c>
      <c r="D13" s="19">
        <v>2</v>
      </c>
      <c r="E13" s="19">
        <v>6</v>
      </c>
      <c r="F13" s="19">
        <v>1</v>
      </c>
      <c r="G13" s="17">
        <f t="shared" si="0"/>
        <v>12</v>
      </c>
      <c r="H13" s="17">
        <f>IF(Parameters!$B$10="none",Parameters!$B$12*D13,IF(Parameters!$B$10="round",ROUND(Parameters!$B$12*D13,0),ROUNDUP(Parameters!$B$12*D13,0)))</f>
        <v>2</v>
      </c>
      <c r="I13" s="17">
        <f t="shared" si="1"/>
        <v>12</v>
      </c>
      <c r="J13" s="20" t="s">
        <v>110</v>
      </c>
      <c r="K13" s="20" t="s">
        <v>119</v>
      </c>
    </row>
    <row r="14" spans="1:11" x14ac:dyDescent="0.25">
      <c r="A14" s="17" t="s">
        <v>120</v>
      </c>
      <c r="B14" s="18" t="s">
        <v>99</v>
      </c>
      <c r="C14" s="19" t="s">
        <v>109</v>
      </c>
      <c r="D14" s="19">
        <v>45</v>
      </c>
      <c r="E14" s="19">
        <v>1</v>
      </c>
      <c r="F14" s="19">
        <v>1</v>
      </c>
      <c r="G14" s="17">
        <f t="shared" si="0"/>
        <v>45</v>
      </c>
      <c r="H14" s="17">
        <f>IF(Parameters!$B$10="none",Parameters!$B$12*D14,IF(Parameters!$B$10="round",ROUND(Parameters!$B$12*D14,0),ROUNDUP(Parameters!$B$12*D14,0)))</f>
        <v>34</v>
      </c>
      <c r="I14" s="17">
        <f t="shared" si="1"/>
        <v>34</v>
      </c>
      <c r="J14" s="20" t="s">
        <v>110</v>
      </c>
      <c r="K14" s="20" t="s">
        <v>111</v>
      </c>
    </row>
    <row r="15" spans="1:11" x14ac:dyDescent="0.25">
      <c r="A15" s="17" t="s">
        <v>121</v>
      </c>
      <c r="B15" s="18" t="s">
        <v>99</v>
      </c>
      <c r="C15" s="19" t="s">
        <v>118</v>
      </c>
      <c r="D15" s="19">
        <v>15</v>
      </c>
      <c r="E15" s="19">
        <v>1</v>
      </c>
      <c r="F15" s="19">
        <v>1</v>
      </c>
      <c r="G15" s="17">
        <f t="shared" si="0"/>
        <v>15</v>
      </c>
      <c r="H15" s="17">
        <f>IF(Parameters!$B$10="none",Parameters!$B$12*D15,IF(Parameters!$B$10="round",ROUND(Parameters!$B$12*D15,0),ROUNDUP(Parameters!$B$12*D15,0)))</f>
        <v>12</v>
      </c>
      <c r="I15" s="17">
        <f t="shared" si="1"/>
        <v>12</v>
      </c>
      <c r="J15" s="20" t="s">
        <v>110</v>
      </c>
      <c r="K15" s="20" t="s">
        <v>122</v>
      </c>
    </row>
    <row r="16" spans="1:11" x14ac:dyDescent="0.25">
      <c r="A16" s="17" t="s">
        <v>123</v>
      </c>
      <c r="B16" s="18" t="s">
        <v>124</v>
      </c>
      <c r="C16" s="19" t="s">
        <v>100</v>
      </c>
      <c r="D16" s="19">
        <v>15</v>
      </c>
      <c r="E16" s="19">
        <v>3</v>
      </c>
      <c r="F16" s="19">
        <v>6</v>
      </c>
      <c r="G16" s="17">
        <f t="shared" si="0"/>
        <v>270</v>
      </c>
      <c r="H16" s="17">
        <f>IF(Parameters!$B$10="none",Parameters!$B$12*D16,IF(Parameters!$B$10="round",ROUND(Parameters!$B$12*D16,0),ROUNDUP(Parameters!$B$12*D16,0)))</f>
        <v>12</v>
      </c>
      <c r="I16" s="17">
        <f t="shared" si="1"/>
        <v>216</v>
      </c>
      <c r="J16" s="20" t="s">
        <v>101</v>
      </c>
      <c r="K16" s="20" t="s">
        <v>125</v>
      </c>
    </row>
    <row r="17" spans="1:11" x14ac:dyDescent="0.25">
      <c r="A17" s="17" t="s">
        <v>126</v>
      </c>
      <c r="B17" s="18" t="s">
        <v>124</v>
      </c>
      <c r="C17" s="19" t="s">
        <v>100</v>
      </c>
      <c r="D17" s="19">
        <v>15</v>
      </c>
      <c r="E17" s="19">
        <v>3</v>
      </c>
      <c r="F17" s="19">
        <v>6</v>
      </c>
      <c r="G17" s="17">
        <f t="shared" si="0"/>
        <v>270</v>
      </c>
      <c r="H17" s="17">
        <f>IF(Parameters!$B$10="none",Parameters!$B$12*D17,IF(Parameters!$B$10="round",ROUND(Parameters!$B$12*D17,0),ROUNDUP(Parameters!$B$12*D17,0)))</f>
        <v>12</v>
      </c>
      <c r="I17" s="17">
        <f t="shared" si="1"/>
        <v>216</v>
      </c>
      <c r="J17" s="20" t="s">
        <v>101</v>
      </c>
      <c r="K17" s="20" t="s">
        <v>125</v>
      </c>
    </row>
    <row r="18" spans="1:11" x14ac:dyDescent="0.25">
      <c r="A18" s="17" t="s">
        <v>127</v>
      </c>
      <c r="B18" s="18" t="s">
        <v>124</v>
      </c>
      <c r="C18" s="19" t="s">
        <v>100</v>
      </c>
      <c r="D18" s="19">
        <v>15</v>
      </c>
      <c r="E18" s="19">
        <v>10</v>
      </c>
      <c r="F18" s="19">
        <v>6</v>
      </c>
      <c r="G18" s="17">
        <f t="shared" si="0"/>
        <v>900</v>
      </c>
      <c r="H18" s="17">
        <f>IF(Parameters!$B$10="none",Parameters!$B$12*D18,IF(Parameters!$B$10="round",ROUND(Parameters!$B$12*D18,0),ROUNDUP(Parameters!$B$12*D18,0)))</f>
        <v>12</v>
      </c>
      <c r="I18" s="17">
        <f t="shared" si="1"/>
        <v>720</v>
      </c>
      <c r="J18" s="20" t="s">
        <v>101</v>
      </c>
      <c r="K18" s="20" t="s">
        <v>125</v>
      </c>
    </row>
    <row r="19" spans="1:11" x14ac:dyDescent="0.25">
      <c r="A19" s="17" t="s">
        <v>128</v>
      </c>
      <c r="B19" s="18" t="s">
        <v>124</v>
      </c>
      <c r="C19" s="19" t="s">
        <v>100</v>
      </c>
      <c r="D19" s="19">
        <v>15</v>
      </c>
      <c r="E19" s="19">
        <v>3</v>
      </c>
      <c r="F19" s="19">
        <v>6</v>
      </c>
      <c r="G19" s="17">
        <f t="shared" si="0"/>
        <v>270</v>
      </c>
      <c r="H19" s="17">
        <f>IF(Parameters!$B$10="none",Parameters!$B$12*D19,IF(Parameters!$B$10="round",ROUND(Parameters!$B$12*D19,0),ROUNDUP(Parameters!$B$12*D19,0)))</f>
        <v>12</v>
      </c>
      <c r="I19" s="17">
        <f t="shared" si="1"/>
        <v>216</v>
      </c>
      <c r="J19" s="20" t="s">
        <v>101</v>
      </c>
      <c r="K19" s="20" t="s">
        <v>125</v>
      </c>
    </row>
    <row r="20" spans="1:11" x14ac:dyDescent="0.25">
      <c r="A20" s="17" t="s">
        <v>129</v>
      </c>
      <c r="B20" s="18" t="s">
        <v>130</v>
      </c>
      <c r="C20" s="19" t="s">
        <v>100</v>
      </c>
      <c r="D20" s="19">
        <v>15</v>
      </c>
      <c r="E20" s="19">
        <v>1</v>
      </c>
      <c r="F20" s="19">
        <v>1</v>
      </c>
      <c r="G20" s="17">
        <f t="shared" si="0"/>
        <v>15</v>
      </c>
      <c r="H20" s="17">
        <f>IF(Parameters!$B$10="none",Parameters!$B$12*D20,IF(Parameters!$B$10="round",ROUND(Parameters!$B$12*D20,0),ROUNDUP(Parameters!$B$12*D20,0)))</f>
        <v>12</v>
      </c>
      <c r="I20" s="17">
        <f t="shared" si="1"/>
        <v>12</v>
      </c>
      <c r="J20" s="20" t="s">
        <v>110</v>
      </c>
      <c r="K20" s="20" t="s">
        <v>131</v>
      </c>
    </row>
    <row r="21" spans="1:11" x14ac:dyDescent="0.25">
      <c r="A21" s="17" t="s">
        <v>132</v>
      </c>
      <c r="B21" s="18" t="s">
        <v>130</v>
      </c>
      <c r="C21" s="19" t="s">
        <v>100</v>
      </c>
      <c r="D21" s="19">
        <v>30</v>
      </c>
      <c r="E21" s="19">
        <v>1</v>
      </c>
      <c r="F21" s="19">
        <v>1</v>
      </c>
      <c r="G21" s="17">
        <f t="shared" si="0"/>
        <v>30</v>
      </c>
      <c r="H21" s="17">
        <f>IF(Parameters!$B$10="none",Parameters!$B$12*D21,IF(Parameters!$B$10="round",ROUND(Parameters!$B$12*D21,0),ROUNDUP(Parameters!$B$12*D21,0)))</f>
        <v>23</v>
      </c>
      <c r="I21" s="17">
        <f t="shared" si="1"/>
        <v>23</v>
      </c>
      <c r="J21" s="20" t="s">
        <v>101</v>
      </c>
      <c r="K21" s="20"/>
    </row>
    <row r="22" spans="1:11" x14ac:dyDescent="0.25">
      <c r="A22" s="17" t="s">
        <v>133</v>
      </c>
      <c r="B22" s="18" t="s">
        <v>130</v>
      </c>
      <c r="C22" s="19" t="s">
        <v>100</v>
      </c>
      <c r="D22" s="19">
        <v>30</v>
      </c>
      <c r="E22" s="19">
        <v>1</v>
      </c>
      <c r="F22" s="19">
        <v>1</v>
      </c>
      <c r="G22" s="17">
        <f t="shared" si="0"/>
        <v>30</v>
      </c>
      <c r="H22" s="17">
        <f>IF(Parameters!$B$10="none",Parameters!$B$12*D22,IF(Parameters!$B$10="round",ROUND(Parameters!$B$12*D22,0),ROUNDUP(Parameters!$B$12*D22,0)))</f>
        <v>23</v>
      </c>
      <c r="I22" s="17">
        <f t="shared" si="1"/>
        <v>23</v>
      </c>
      <c r="J22" s="20" t="s">
        <v>101</v>
      </c>
      <c r="K22" s="20" t="s">
        <v>134</v>
      </c>
    </row>
    <row r="24" spans="1:11" x14ac:dyDescent="0.25">
      <c r="A24" s="4"/>
      <c r="G24" s="21">
        <f>SUMIF(B5:B22,"Overhead",G5:G22)</f>
        <v>375</v>
      </c>
      <c r="H24" s="2" t="s">
        <v>135</v>
      </c>
      <c r="I24" s="4">
        <f>SUMIF(B5:B22,"Overhead",I5:I22)</f>
        <v>285</v>
      </c>
    </row>
    <row r="25" spans="1:11" x14ac:dyDescent="0.25">
      <c r="A25" s="4"/>
      <c r="G25" s="21">
        <f>SUMIF(B5:B22,"Progress",G5:G22)+SUMIF(B5:B22,"Learn",G5:G22)</f>
        <v>1785</v>
      </c>
      <c r="H25" s="2" t="s">
        <v>135</v>
      </c>
      <c r="I25" s="4">
        <f>SUMIF(B5:B22,"Progress",I5:I22)+SUMIF(B5:B22,"Learn",I5:I22)</f>
        <v>1426</v>
      </c>
    </row>
    <row r="26" spans="1:11" x14ac:dyDescent="0.25">
      <c r="A26" s="4"/>
      <c r="G26" s="4">
        <f>SUMIF(B5:B22,"Gather",G5:G22)</f>
        <v>12</v>
      </c>
      <c r="H26" s="2" t="s">
        <v>135</v>
      </c>
      <c r="I26" s="4">
        <f>SUMIF(B5:B22,"Gather",I5:I22)</f>
        <v>12</v>
      </c>
    </row>
    <row r="27" spans="1:11" x14ac:dyDescent="0.25">
      <c r="A27" s="4" t="s">
        <v>136</v>
      </c>
      <c r="G27" s="4">
        <f>SUMIF(B5:B22,"Learn",G5:G22)</f>
        <v>1710</v>
      </c>
    </row>
    <row r="28" spans="1:11" x14ac:dyDescent="0.25">
      <c r="A28" s="5" t="s">
        <v>137</v>
      </c>
      <c r="G28" s="21">
        <f>SUMPRODUCT(($B$5:$B$22="Learn")*$D$5:$D$22*$E$5:$E$22)</f>
        <v>285</v>
      </c>
    </row>
    <row r="29" spans="1:11" ht="39" x14ac:dyDescent="0.25">
      <c r="A29" s="22" t="s">
        <v>89</v>
      </c>
      <c r="B29" s="22" t="s">
        <v>138</v>
      </c>
      <c r="C29" s="22" t="s">
        <v>139</v>
      </c>
      <c r="D29" s="22" t="s">
        <v>140</v>
      </c>
      <c r="G29" s="21">
        <f>_xlfn.MAXIFS($F$5:$F$22,$B$5:$B$22,"Learn")</f>
        <v>6</v>
      </c>
    </row>
    <row r="30" spans="1:11" x14ac:dyDescent="0.25">
      <c r="A30" s="18" t="s">
        <v>100</v>
      </c>
      <c r="B30" s="17">
        <f>SUMIFS($I$5:$I$22,$C$5:$C$22,A30,$B$5:$B$22,"Overhead")+SUMIFS($I$5:$I$22,$C$5:$C$22,A30,$B$5:$B$22,"Gather")</f>
        <v>115</v>
      </c>
      <c r="C30" s="17">
        <f>SUMIFS($I$5:$I$22,$C$5:$C$22,A30,$B$5:$B$22,"Progress")+SUMIFS($I$5:$I$22,$C$5:$C$22,A30,$B$5:$B$22,"Learn")</f>
        <v>1426</v>
      </c>
      <c r="D30" s="23">
        <f>IFERROR(B30/SUM($B$30:$B$34),0)</f>
        <v>0.38720538720538722</v>
      </c>
    </row>
    <row r="31" spans="1:11" x14ac:dyDescent="0.25">
      <c r="A31" s="18" t="s">
        <v>118</v>
      </c>
      <c r="B31" s="17">
        <f>SUMIFS($I$5:$I$22,$C$5:$C$22,A31,$B$5:$B$22,"Overhead")+SUMIFS($I$5:$I$22,$C$5:$C$22,A31,$B$5:$B$22,"Gather")</f>
        <v>24</v>
      </c>
      <c r="C31" s="17">
        <f>SUMIFS($I$5:$I$22,$C$5:$C$22,A31,$B$5:$B$22,"Progress")+SUMIFS($I$5:$I$22,$C$5:$C$22,A31,$B$5:$B$22,"Learn")</f>
        <v>0</v>
      </c>
      <c r="D31" s="23">
        <f>IFERROR(B31/SUM($B$30:$B$34),0)</f>
        <v>8.0808080808080815E-2</v>
      </c>
    </row>
    <row r="32" spans="1:11" x14ac:dyDescent="0.25">
      <c r="A32" s="18" t="s">
        <v>109</v>
      </c>
      <c r="B32" s="17">
        <f>SUMIFS($I$5:$I$22,$C$5:$C$22,A32,$B$5:$B$22,"Overhead")+SUMIFS($I$5:$I$22,$C$5:$C$22,A32,$B$5:$B$22,"Gather")</f>
        <v>158</v>
      </c>
      <c r="C32" s="17">
        <f>SUMIFS($I$5:$I$22,$C$5:$C$22,A32,$B$5:$B$22,"Progress")+SUMIFS($I$5:$I$22,$C$5:$C$22,A32,$B$5:$B$22,"Learn")</f>
        <v>0</v>
      </c>
      <c r="D32" s="23">
        <f>IFERROR(B32/SUM($B$30:$B$34),0)</f>
        <v>0.53198653198653201</v>
      </c>
    </row>
    <row r="33" spans="1:4" x14ac:dyDescent="0.25">
      <c r="A33" s="18" t="s">
        <v>141</v>
      </c>
      <c r="B33" s="17">
        <f>SUMIFS($I$5:$I$22,$C$5:$C$22,A33,$B$5:$B$22,"Overhead")+SUMIFS($I$5:$I$22,$C$5:$C$22,A33,$B$5:$B$22,"Gather")</f>
        <v>0</v>
      </c>
      <c r="C33" s="17">
        <f>SUMIFS($I$5:$I$22,$C$5:$C$22,A33,$B$5:$B$22,"Progress")+SUMIFS($I$5:$I$22,$C$5:$C$22,A33,$B$5:$B$22,"Learn")</f>
        <v>0</v>
      </c>
      <c r="D33" s="23">
        <f>IFERROR(B33/SUM($B$30:$B$34),0)</f>
        <v>0</v>
      </c>
    </row>
    <row r="34" spans="1:4" x14ac:dyDescent="0.25">
      <c r="A34" s="18" t="s">
        <v>142</v>
      </c>
      <c r="B34" s="17">
        <f>SUMIFS($I$5:$I$22,$C$5:$C$22,A34,$B$5:$B$22,"Overhead")+SUMIFS($I$5:$I$22,$C$5:$C$22,A34,$B$5:$B$22,"Gather")</f>
        <v>0</v>
      </c>
      <c r="C34" s="17">
        <f>SUMIFS($I$5:$I$22,$C$5:$C$22,A34,$B$5:$B$22,"Progress")+SUMIFS($I$5:$I$22,$C$5:$C$22,A34,$B$5:$B$22,"Learn")</f>
        <v>0</v>
      </c>
      <c r="D34" s="23">
        <f>IFERROR(B34/SUM($B$30:$B$34),0)</f>
        <v>0</v>
      </c>
    </row>
    <row r="36" spans="1:4" x14ac:dyDescent="0.25">
      <c r="A36" s="2" t="s">
        <v>143</v>
      </c>
    </row>
    <row r="37" spans="1:4" x14ac:dyDescent="0.25">
      <c r="A37" s="2" t="s">
        <v>144</v>
      </c>
    </row>
    <row r="38" spans="1:4" x14ac:dyDescent="0.25">
      <c r="A38" s="2" t="s">
        <v>145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4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7109375" defaultRowHeight="15" x14ac:dyDescent="0.25"/>
  <cols>
    <col min="1" max="1" width="6" customWidth="1"/>
    <col min="2" max="2" width="14" customWidth="1"/>
    <col min="3" max="4" width="11" customWidth="1"/>
    <col min="5" max="6" width="8" customWidth="1"/>
    <col min="7" max="7" width="9" customWidth="1"/>
    <col min="8" max="8" width="12" customWidth="1"/>
    <col min="9" max="9" width="11" customWidth="1"/>
    <col min="10" max="10" width="15" customWidth="1"/>
    <col min="11" max="11" width="14" customWidth="1"/>
    <col min="12" max="12" width="10" customWidth="1"/>
    <col min="13" max="13" width="26" customWidth="1"/>
    <col min="14" max="21" width="13" hidden="1" customWidth="1"/>
  </cols>
  <sheetData>
    <row r="1" spans="1:21" ht="18" x14ac:dyDescent="0.25">
      <c r="A1" s="1" t="s">
        <v>146</v>
      </c>
    </row>
    <row r="2" spans="1:21" x14ac:dyDescent="0.25">
      <c r="A2" s="2" t="s">
        <v>147</v>
      </c>
    </row>
    <row r="4" spans="1:21" ht="30" x14ac:dyDescent="0.25">
      <c r="A4" s="16" t="s">
        <v>148</v>
      </c>
      <c r="B4" s="16" t="s">
        <v>149</v>
      </c>
      <c r="C4" s="16" t="s">
        <v>150</v>
      </c>
      <c r="D4" s="16" t="s">
        <v>151</v>
      </c>
      <c r="E4" s="16" t="s">
        <v>152</v>
      </c>
      <c r="F4" s="16" t="s">
        <v>153</v>
      </c>
      <c r="G4" s="16" t="s">
        <v>154</v>
      </c>
      <c r="H4" s="16" t="s">
        <v>155</v>
      </c>
      <c r="I4" s="16" t="s">
        <v>156</v>
      </c>
      <c r="J4" s="16" t="s">
        <v>157</v>
      </c>
      <c r="K4" s="16" t="s">
        <v>158</v>
      </c>
      <c r="L4" s="16" t="s">
        <v>159</v>
      </c>
      <c r="M4" s="16" t="s">
        <v>160</v>
      </c>
    </row>
    <row r="5" spans="1:21" x14ac:dyDescent="0.25">
      <c r="A5" s="17">
        <v>1</v>
      </c>
      <c r="B5" s="24">
        <f>Route!$I$24+Route!$I$26</f>
        <v>297</v>
      </c>
      <c r="C5" s="24">
        <f>MIN(Parameters!$B$18,LN(1+B5*Parameters!$B$19/Parameters!$B$14)/LN(1+Parameters!$B$19))</f>
        <v>13.914787878930943</v>
      </c>
      <c r="D5" s="25">
        <f>Parameters!$B$20</f>
        <v>1.6</v>
      </c>
      <c r="E5" s="26">
        <f>D5*(1+Parameters!$B$17)^C5</f>
        <v>1.8376000000000001</v>
      </c>
      <c r="F5" s="24">
        <f>MIN(Parameters!$B$29,Parameters!$B$30/(E5/(IF(Parameters!$B$28="well",Parameters!$B$26,Parameters!$B$25))*(IF(Parameters!$B$28="well",Parameters!$B$23,Parameters!$B$21))))</f>
        <v>0.25</v>
      </c>
      <c r="G5" s="24">
        <f>Parameters!$B$5+O5*H5</f>
        <v>237.77245320306463</v>
      </c>
      <c r="H5" s="24">
        <f t="shared" ref="H5:H34" si="0">U5</f>
        <v>299.89650240109842</v>
      </c>
      <c r="I5" s="24">
        <f>Route!$G$24/E5+F5*H5</f>
        <v>279.04465237432771</v>
      </c>
      <c r="J5" s="24">
        <f t="shared" ref="J5:J34" si="1">MAX(0,H5-I5)</f>
        <v>20.851850026770705</v>
      </c>
      <c r="K5" s="24">
        <f>MIN(Route!$G$25,MIN(J5*E5,Route!$G$28+Route!$G$25-Route!$G$27))</f>
        <v>38.317359609193851</v>
      </c>
      <c r="L5" s="23">
        <f>K5/Route!$G$25</f>
        <v>2.146630790431028E-2</v>
      </c>
      <c r="M5" s="18" t="str">
        <f>IF(J5&lt;=0,"STUCK - overhead exceeds the run",IF(AND(K5&gt;=Route!$G$25,A5&gt;=Route!$G$29),"LAB OPENS",IF(J5&lt;Parameters!$B$37,"dead run","ok")))</f>
        <v>ok</v>
      </c>
      <c r="N5" s="3">
        <f>Route!$I$25*MAX(0,K5-0)/Route!$G$25</f>
        <v>30.61095507154646</v>
      </c>
      <c r="O5" s="3">
        <f>MIN(Parameters!$B$30,Parameters!$B$29*E5/(IF(Parameters!$B$28="well",Parameters!$B$26,Parameters!$B$25))*(IF(Parameters!$B$28="well",Parameters!$B$23,Parameters!$B$21)))</f>
        <v>0.45940000000000003</v>
      </c>
      <c r="P5" s="3">
        <f>(60/LN(1+Parameters!$B$7))*LN(1+Parameters!$B$5*(LN(1+Parameters!$B$7)/(60*Parameters!$B$6*Parameters!$B$9)))</f>
        <v>167.57089697704743</v>
      </c>
      <c r="Q5" s="3">
        <f>(60/LN(1+Parameters!$B$7))*LN(1+(Parameters!$B$5+O5*P5)*(LN(1+Parameters!$B$7)/(60*Parameters!$B$6*Parameters!$B$9)))</f>
        <v>249.66025586627853</v>
      </c>
      <c r="R5" s="3">
        <f>(60/LN(1+Parameters!$B$7))*LN(1+(Parameters!$B$5+O5*Q5)*(LN(1+Parameters!$B$7)/(60*Parameters!$B$6*Parameters!$B$9)))</f>
        <v>282.25711999028488</v>
      </c>
      <c r="S5" s="3">
        <f>(60/LN(1+Parameters!$B$7))*LN(1+(Parameters!$B$5+O5*R5)*(LN(1+Parameters!$B$7)/(60*Parameters!$B$6*Parameters!$B$9)))</f>
        <v>294.17894017985384</v>
      </c>
      <c r="T5" s="3">
        <f>(60/LN(1+Parameters!$B$7))*LN(1+(Parameters!$B$5+O5*S5)*(LN(1+Parameters!$B$7)/(60*Parameters!$B$6*Parameters!$B$9)))</f>
        <v>298.41044892393649</v>
      </c>
      <c r="U5" s="3">
        <f>(60/LN(1+Parameters!$B$7))*LN(1+(Parameters!$B$5+O5*T5)*(LN(1+Parameters!$B$7)/(60*Parameters!$B$6*Parameters!$B$9)))</f>
        <v>299.89650240109842</v>
      </c>
    </row>
    <row r="6" spans="1:21" x14ac:dyDescent="0.25">
      <c r="A6" s="17">
        <v>2</v>
      </c>
      <c r="B6" s="24">
        <f>B5+Route!$I$24+Route!$I$26+N5</f>
        <v>624.61095507154641</v>
      </c>
      <c r="C6" s="24">
        <f>MIN(Parameters!$B$18,LN(1+B6*Parameters!$B$19/Parameters!$B$14)/LN(1+Parameters!$B$19))</f>
        <v>27.314217076659872</v>
      </c>
      <c r="D6" s="25">
        <f>Parameters!$B$20</f>
        <v>1.6</v>
      </c>
      <c r="E6" s="26">
        <f>D6*(1+Parameters!$B$17)^C6</f>
        <v>2.099688764057237</v>
      </c>
      <c r="F6" s="24">
        <f>MIN(Parameters!$B$29,Parameters!$B$30/(E6/(IF(Parameters!$B$28="well",Parameters!$B$26,Parameters!$B$25))*(IF(Parameters!$B$28="well",Parameters!$B$23,Parameters!$B$21))))</f>
        <v>0.25</v>
      </c>
      <c r="G6" s="24">
        <f>Parameters!$B$5+O6*H6</f>
        <v>269.37042314960081</v>
      </c>
      <c r="H6" s="24">
        <f t="shared" si="0"/>
        <v>322.65815019617605</v>
      </c>
      <c r="I6" s="24">
        <f>Route!$G$24/E6+F6*H6</f>
        <v>259.26243568485438</v>
      </c>
      <c r="J6" s="24">
        <f t="shared" si="1"/>
        <v>63.395714511321671</v>
      </c>
      <c r="K6" s="24">
        <f>MIN(Route!$G$25,K5+MIN(J6*E6,Route!$G$28+Route!$G$25-Route!$G$27))</f>
        <v>171.42862905799632</v>
      </c>
      <c r="L6" s="23">
        <f>K6/Route!$G$25</f>
        <v>9.6038447651538558E-2</v>
      </c>
      <c r="M6" s="18" t="str">
        <f>IF(J6&lt;=0,"STUCK - overhead exceeds the run",IF(AND(K6&gt;=Route!$G$25,A6&gt;=Route!$G$29,OR(K5&lt;Route!$G$25,A5&lt;Route!$G$29)),"LAB OPENS",IF(AND(K6&gt;=Route!$G$25,A6&gt;Route!$G$29),"(lab already open)",IF(J6&lt;Parameters!$B$37,"dead run","ok"))))</f>
        <v>ok</v>
      </c>
      <c r="N6" s="3">
        <f>Route!$I$25*MAX(0,K6-K5)/Route!$G$25</f>
        <v>106.33987127954751</v>
      </c>
      <c r="O6" s="3">
        <f>MIN(Parameters!$B$30,Parameters!$B$29*E6/(IF(Parameters!$B$28="well",Parameters!$B$26,Parameters!$B$25))*(IF(Parameters!$B$28="well",Parameters!$B$23,Parameters!$B$21)))</f>
        <v>0.52492219101430926</v>
      </c>
      <c r="P6" s="3">
        <f>(60/LN(1+Parameters!$B$7))*LN(1+Parameters!$B$5*(LN(1+Parameters!$B$7)/(60*Parameters!$B$6*Parameters!$B$9)))</f>
        <v>167.57089697704743</v>
      </c>
      <c r="Q6" s="3">
        <f>(60/LN(1+Parameters!$B$7))*LN(1+(Parameters!$B$5+O6*P6)*(LN(1+Parameters!$B$7)/(60*Parameters!$B$6*Parameters!$B$9)))</f>
        <v>259.56519818038197</v>
      </c>
      <c r="R6" s="3">
        <f>(60/LN(1+Parameters!$B$7))*LN(1+(Parameters!$B$5+O6*Q6)*(LN(1+Parameters!$B$7)/(60*Parameters!$B$6*Parameters!$B$9)))</f>
        <v>299.25672746713053</v>
      </c>
      <c r="S6" s="3">
        <f>(60/LN(1+Parameters!$B$7))*LN(1+(Parameters!$B$5+O6*R6)*(LN(1+Parameters!$B$7)/(60*Parameters!$B$6*Parameters!$B$9)))</f>
        <v>314.72434701606903</v>
      </c>
      <c r="T6" s="3">
        <f>(60/LN(1+Parameters!$B$7))*LN(1+(Parameters!$B$5+O6*S6)*(LN(1+Parameters!$B$7)/(60*Parameters!$B$6*Parameters!$B$9)))</f>
        <v>320.51902789050973</v>
      </c>
      <c r="U6" s="3">
        <f>(60/LN(1+Parameters!$B$7))*LN(1+(Parameters!$B$5+O6*T6)*(LN(1+Parameters!$B$7)/(60*Parameters!$B$6*Parameters!$B$9)))</f>
        <v>322.65815019617605</v>
      </c>
    </row>
    <row r="7" spans="1:21" x14ac:dyDescent="0.25">
      <c r="A7" s="17">
        <v>3</v>
      </c>
      <c r="B7" s="24">
        <f>B6+Route!$I$24+Route!$I$26+N6</f>
        <v>1027.9508263510938</v>
      </c>
      <c r="C7" s="24">
        <f>MIN(Parameters!$B$18,LN(1+B7*Parameters!$B$19/Parameters!$B$14)/LN(1+Parameters!$B$19))</f>
        <v>41.680917082779551</v>
      </c>
      <c r="D7" s="25">
        <f>Parameters!$B$20</f>
        <v>1.6</v>
      </c>
      <c r="E7" s="26">
        <f>D7*(1+Parameters!$B$17)^C7</f>
        <v>2.4223606610808752</v>
      </c>
      <c r="F7" s="24">
        <f>MIN(Parameters!$B$29,Parameters!$B$30/(E7/(IF(Parameters!$B$28="well",Parameters!$B$26,Parameters!$B$25))*(IF(Parameters!$B$28="well",Parameters!$B$23,Parameters!$B$21))))</f>
        <v>0.25</v>
      </c>
      <c r="G7" s="24">
        <f>Parameters!$B$5+O7*H7</f>
        <v>312.44732098815371</v>
      </c>
      <c r="H7" s="24">
        <f t="shared" si="0"/>
        <v>350.8103882323752</v>
      </c>
      <c r="I7" s="24">
        <f>Route!$G$24/E7+F7*H7</f>
        <v>242.51026299528428</v>
      </c>
      <c r="J7" s="24">
        <f t="shared" si="1"/>
        <v>108.30012523709092</v>
      </c>
      <c r="K7" s="24">
        <f>MIN(Route!$G$25,K6+MIN(J7*E7,Route!$G$28+Route!$G$25-Route!$G$27))</f>
        <v>433.77059202245749</v>
      </c>
      <c r="L7" s="23">
        <f>K7/Route!$G$25</f>
        <v>0.24300873502658682</v>
      </c>
      <c r="M7" s="18" t="str">
        <f>IF(J7&lt;=0,"STUCK - overhead exceeds the run",IF(AND(K7&gt;=Route!$G$25,A7&gt;=Route!$G$29,OR(K6&lt;Route!$G$25,A6&lt;Route!$G$29)),"LAB OPENS",IF(AND(K7&gt;=Route!$G$25,A7&gt;Route!$G$29),"(lab already open)",IF(J7&lt;Parameters!$B$37,"dead run","ok"))))</f>
        <v>ok</v>
      </c>
      <c r="N7" s="3">
        <f>Route!$I$25*MAX(0,K7-K6)/Route!$G$25</f>
        <v>209.57962979681886</v>
      </c>
      <c r="O7" s="3">
        <f>MIN(Parameters!$B$30,Parameters!$B$29*E7/(IF(Parameters!$B$28="well",Parameters!$B$26,Parameters!$B$25))*(IF(Parameters!$B$28="well",Parameters!$B$23,Parameters!$B$21)))</f>
        <v>0.60559016527021881</v>
      </c>
      <c r="P7" s="3">
        <f>(60/LN(1+Parameters!$B$7))*LN(1+Parameters!$B$5*(LN(1+Parameters!$B$7)/(60*Parameters!$B$6*Parameters!$B$9)))</f>
        <v>167.57089697704743</v>
      </c>
      <c r="Q7" s="3">
        <f>(60/LN(1+Parameters!$B$7))*LN(1+(Parameters!$B$5+O7*P7)*(LN(1+Parameters!$B$7)/(60*Parameters!$B$6*Parameters!$B$9)))</f>
        <v>271.2789496131025</v>
      </c>
      <c r="R7" s="3">
        <f>(60/LN(1+Parameters!$B$7))*LN(1+(Parameters!$B$5+O7*Q7)*(LN(1+Parameters!$B$7)/(60*Parameters!$B$6*Parameters!$B$9)))</f>
        <v>319.86730357151117</v>
      </c>
      <c r="S7" s="3">
        <f>(60/LN(1+Parameters!$B$7))*LN(1+(Parameters!$B$5+O7*R7)*(LN(1+Parameters!$B$7)/(60*Parameters!$B$6*Parameters!$B$9)))</f>
        <v>339.92604420081489</v>
      </c>
      <c r="T7" s="3">
        <f>(60/LN(1+Parameters!$B$7))*LN(1+(Parameters!$B$5+O7*S7)*(LN(1+Parameters!$B$7)/(60*Parameters!$B$6*Parameters!$B$9)))</f>
        <v>347.78945375873923</v>
      </c>
      <c r="U7" s="3">
        <f>(60/LN(1+Parameters!$B$7))*LN(1+(Parameters!$B$5+O7*T7)*(LN(1+Parameters!$B$7)/(60*Parameters!$B$6*Parameters!$B$9)))</f>
        <v>350.8103882323752</v>
      </c>
    </row>
    <row r="8" spans="1:21" x14ac:dyDescent="0.25">
      <c r="A8" s="17">
        <v>4</v>
      </c>
      <c r="B8" s="24">
        <f>B7+Route!$I$24+Route!$I$26+N7</f>
        <v>1534.5304561479127</v>
      </c>
      <c r="C8" s="24">
        <f>MIN(Parameters!$B$18,LN(1+B8*Parameters!$B$19/Parameters!$B$14)/LN(1+Parameters!$B$19))</f>
        <v>57.227572756520644</v>
      </c>
      <c r="D8" s="25">
        <f>Parameters!$B$20</f>
        <v>1.6</v>
      </c>
      <c r="E8" s="26">
        <f>D8*(1+Parameters!$B$17)^C8</f>
        <v>2.8276243649183304</v>
      </c>
      <c r="F8" s="24">
        <f>MIN(Parameters!$B$29,Parameters!$B$30/(E8/(IF(Parameters!$B$28="well",Parameters!$B$26,Parameters!$B$25))*(IF(Parameters!$B$28="well",Parameters!$B$23,Parameters!$B$21))))</f>
        <v>0.25</v>
      </c>
      <c r="G8" s="24">
        <f>Parameters!$B$5+O8*H8</f>
        <v>372.68206274733438</v>
      </c>
      <c r="H8" s="24">
        <f t="shared" si="0"/>
        <v>385.74015152852201</v>
      </c>
      <c r="I8" s="24">
        <f>Route!$G$24/E8+F8*H8</f>
        <v>229.05519940448005</v>
      </c>
      <c r="J8" s="24">
        <f t="shared" si="1"/>
        <v>156.68495212404196</v>
      </c>
      <c r="K8" s="24">
        <f>MIN(Route!$G$25,K7+MIN(J8*E8,Route!$G$28+Route!$G$25-Route!$G$27))</f>
        <v>793.77059202245755</v>
      </c>
      <c r="L8" s="23">
        <f>K8/Route!$G$25</f>
        <v>0.44468940729549444</v>
      </c>
      <c r="M8" s="18" t="str">
        <f>IF(J8&lt;=0,"STUCK - overhead exceeds the run",IF(AND(K8&gt;=Route!$G$25,A8&gt;=Route!$G$29,OR(K7&lt;Route!$G$25,A7&lt;Route!$G$29)),"LAB OPENS",IF(AND(K8&gt;=Route!$G$25,A8&gt;Route!$G$29),"(lab already open)",IF(J8&lt;Parameters!$B$37,"dead run","ok"))))</f>
        <v>ok</v>
      </c>
      <c r="N8" s="3">
        <f>Route!$I$25*MAX(0,K8-K7)/Route!$G$25</f>
        <v>287.59663865546224</v>
      </c>
      <c r="O8" s="3">
        <f>MIN(Parameters!$B$30,Parameters!$B$29*E8/(IF(Parameters!$B$28="well",Parameters!$B$26,Parameters!$B$25))*(IF(Parameters!$B$28="well",Parameters!$B$23,Parameters!$B$21)))</f>
        <v>0.70690609122958259</v>
      </c>
      <c r="P8" s="3">
        <f>(60/LN(1+Parameters!$B$7))*LN(1+Parameters!$B$5*(LN(1+Parameters!$B$7)/(60*Parameters!$B$6*Parameters!$B$9)))</f>
        <v>167.57089697704743</v>
      </c>
      <c r="Q8" s="3">
        <f>(60/LN(1+Parameters!$B$7))*LN(1+(Parameters!$B$5+O8*P8)*(LN(1+Parameters!$B$7)/(60*Parameters!$B$6*Parameters!$B$9)))</f>
        <v>285.30296233327465</v>
      </c>
      <c r="R8" s="3">
        <f>(60/LN(1+Parameters!$B$7))*LN(1+(Parameters!$B$5+O8*Q8)*(LN(1+Parameters!$B$7)/(60*Parameters!$B$6*Parameters!$B$9)))</f>
        <v>345.11367822473989</v>
      </c>
      <c r="S8" s="3">
        <f>(60/LN(1+Parameters!$B$7))*LN(1+(Parameters!$B$5+O8*R8)*(LN(1+Parameters!$B$7)/(60*Parameters!$B$6*Parameters!$B$9)))</f>
        <v>371.06330236185931</v>
      </c>
      <c r="T8" s="3">
        <f>(60/LN(1+Parameters!$B$7))*LN(1+(Parameters!$B$5+O8*S8)*(LN(1+Parameters!$B$7)/(60*Parameters!$B$6*Parameters!$B$9)))</f>
        <v>381.58700803851372</v>
      </c>
      <c r="U8" s="3">
        <f>(60/LN(1+Parameters!$B$7))*LN(1+(Parameters!$B$5+O8*T8)*(LN(1+Parameters!$B$7)/(60*Parameters!$B$6*Parameters!$B$9)))</f>
        <v>385.74015152852201</v>
      </c>
    </row>
    <row r="9" spans="1:21" x14ac:dyDescent="0.25">
      <c r="A9" s="17">
        <v>5</v>
      </c>
      <c r="B9" s="24">
        <f>B8+Route!$I$24+Route!$I$26+N8</f>
        <v>2119.1270948033748</v>
      </c>
      <c r="C9" s="24">
        <f>MIN(Parameters!$B$18,LN(1+B9*Parameters!$B$19/Parameters!$B$14)/LN(1+Parameters!$B$19))</f>
        <v>72.61005697417977</v>
      </c>
      <c r="D9" s="25">
        <f>Parameters!$B$20</f>
        <v>1.6</v>
      </c>
      <c r="E9" s="26">
        <f>D9*(1+Parameters!$B$17)^C9</f>
        <v>3.2953016758426998</v>
      </c>
      <c r="F9" s="24">
        <f>MIN(Parameters!$B$29,Parameters!$B$30/(E9/(IF(Parameters!$B$28="well",Parameters!$B$26,Parameters!$B$25))*(IF(Parameters!$B$28="well",Parameters!$B$23,Parameters!$B$21))))</f>
        <v>0.25</v>
      </c>
      <c r="G9" s="24">
        <f>Parameters!$B$5+O9*H9</f>
        <v>449.89630994677373</v>
      </c>
      <c r="H9" s="24">
        <f t="shared" si="0"/>
        <v>424.72142992164203</v>
      </c>
      <c r="I9" s="24">
        <f>Route!$G$24/E9+F9*H9</f>
        <v>219.97873981033848</v>
      </c>
      <c r="J9" s="24">
        <f t="shared" si="1"/>
        <v>204.74269011130355</v>
      </c>
      <c r="K9" s="24">
        <f>MIN(Route!$G$25,K8+MIN(J9*E9,Route!$G$28+Route!$G$25-Route!$G$27))</f>
        <v>1153.7705920224575</v>
      </c>
      <c r="L9" s="23">
        <f>K9/Route!$G$25</f>
        <v>0.64637007956440196</v>
      </c>
      <c r="M9" s="18" t="str">
        <f>IF(J9&lt;=0,"STUCK - overhead exceeds the run",IF(AND(K9&gt;=Route!$G$25,A9&gt;=Route!$G$29,OR(K8&lt;Route!$G$25,A8&lt;Route!$G$29)),"LAB OPENS",IF(AND(K9&gt;=Route!$G$25,A9&gt;Route!$G$29),"(lab already open)",IF(J9&lt;Parameters!$B$37,"dead run","ok"))))</f>
        <v>ok</v>
      </c>
      <c r="N9" s="3">
        <f>Route!$I$25*MAX(0,K9-K8)/Route!$G$25</f>
        <v>287.59663865546219</v>
      </c>
      <c r="O9" s="3">
        <f>MIN(Parameters!$B$30,Parameters!$B$29*E9/(IF(Parameters!$B$28="well",Parameters!$B$26,Parameters!$B$25))*(IF(Parameters!$B$28="well",Parameters!$B$23,Parameters!$B$21)))</f>
        <v>0.82382541896067507</v>
      </c>
      <c r="P9" s="3">
        <f>(60/LN(1+Parameters!$B$7))*LN(1+Parameters!$B$5*(LN(1+Parameters!$B$7)/(60*Parameters!$B$6*Parameters!$B$9)))</f>
        <v>167.57089697704743</v>
      </c>
      <c r="Q9" s="3">
        <f>(60/LN(1+Parameters!$B$7))*LN(1+(Parameters!$B$5+O9*P9)*(LN(1+Parameters!$B$7)/(60*Parameters!$B$6*Parameters!$B$9)))</f>
        <v>300.62690154620293</v>
      </c>
      <c r="R9" s="3">
        <f>(60/LN(1+Parameters!$B$7))*LN(1+(Parameters!$B$5+O9*Q9)*(LN(1+Parameters!$B$7)/(60*Parameters!$B$6*Parameters!$B$9)))</f>
        <v>373.22001793299296</v>
      </c>
      <c r="S9" s="3">
        <f>(60/LN(1+Parameters!$B$7))*LN(1+(Parameters!$B$5+O9*R9)*(LN(1+Parameters!$B$7)/(60*Parameters!$B$6*Parameters!$B$9)))</f>
        <v>405.8652039443441</v>
      </c>
      <c r="T9" s="3">
        <f>(60/LN(1+Parameters!$B$7))*LN(1+(Parameters!$B$5+O9*S9)*(LN(1+Parameters!$B$7)/(60*Parameters!$B$6*Parameters!$B$9)))</f>
        <v>419.34593802130428</v>
      </c>
      <c r="U9" s="3">
        <f>(60/LN(1+Parameters!$B$7))*LN(1+(Parameters!$B$5+O9*T9)*(LN(1+Parameters!$B$7)/(60*Parameters!$B$6*Parameters!$B$9)))</f>
        <v>424.72142992164203</v>
      </c>
    </row>
    <row r="10" spans="1:21" x14ac:dyDescent="0.25">
      <c r="A10" s="17">
        <v>6</v>
      </c>
      <c r="B10" s="24">
        <f>B9+Route!$I$24+Route!$I$26+N9</f>
        <v>2703.7237334588372</v>
      </c>
      <c r="C10" s="24">
        <f>MIN(Parameters!$B$18,LN(1+B10*Parameters!$B$19/Parameters!$B$14)/LN(1+Parameters!$B$19))</f>
        <v>85.947624335261054</v>
      </c>
      <c r="D10" s="25">
        <f>Parameters!$B$20</f>
        <v>1.6</v>
      </c>
      <c r="E10" s="26">
        <f>D10*(1+Parameters!$B$17)^C10</f>
        <v>3.7629789867670698</v>
      </c>
      <c r="F10" s="24">
        <f>MIN(Parameters!$B$29,Parameters!$B$30/(E10/(IF(Parameters!$B$28="well",Parameters!$B$26,Parameters!$B$25))*(IF(Parameters!$B$28="well",Parameters!$B$23,Parameters!$B$21))))</f>
        <v>0.25</v>
      </c>
      <c r="G10" s="24">
        <f>Parameters!$B$5+O10*H10</f>
        <v>534.40855624945073</v>
      </c>
      <c r="H10" s="24">
        <f t="shared" si="0"/>
        <v>461.77090839688054</v>
      </c>
      <c r="I10" s="24">
        <f>Route!$G$24/E10+F10*H10</f>
        <v>215.0978145495431</v>
      </c>
      <c r="J10" s="24">
        <f t="shared" si="1"/>
        <v>246.67309384733744</v>
      </c>
      <c r="K10" s="24">
        <f>MIN(Route!$G$25,K9+MIN(J10*E10,Route!$G$28+Route!$G$25-Route!$G$27))</f>
        <v>1513.7705920224575</v>
      </c>
      <c r="L10" s="23">
        <f>K10/Route!$G$25</f>
        <v>0.84805075183330958</v>
      </c>
      <c r="M10" s="18" t="str">
        <f>IF(J10&lt;=0,"STUCK - overhead exceeds the run",IF(AND(K10&gt;=Route!$G$25,A10&gt;=Route!$G$29,OR(K9&lt;Route!$G$25,A9&lt;Route!$G$29)),"LAB OPENS",IF(AND(K10&gt;=Route!$G$25,A10&gt;Route!$G$29),"(lab already open)",IF(J10&lt;Parameters!$B$37,"dead run","ok"))))</f>
        <v>ok</v>
      </c>
      <c r="N10" s="3">
        <f>Route!$I$25*MAX(0,K10-K9)/Route!$G$25</f>
        <v>287.59663865546219</v>
      </c>
      <c r="O10" s="3">
        <f>MIN(Parameters!$B$30,Parameters!$B$29*E10/(IF(Parameters!$B$28="well",Parameters!$B$26,Parameters!$B$25))*(IF(Parameters!$B$28="well",Parameters!$B$23,Parameters!$B$21)))</f>
        <v>0.94074474669176744</v>
      </c>
      <c r="P10" s="3">
        <f>(60/LN(1+Parameters!$B$7))*LN(1+Parameters!$B$5*(LN(1+Parameters!$B$7)/(60*Parameters!$B$6*Parameters!$B$9)))</f>
        <v>167.57089697704743</v>
      </c>
      <c r="Q10" s="3">
        <f>(60/LN(1+Parameters!$B$7))*LN(1+(Parameters!$B$5+O10*P10)*(LN(1+Parameters!$B$7)/(60*Parameters!$B$6*Parameters!$B$9)))</f>
        <v>315.12440709643352</v>
      </c>
      <c r="R10" s="3">
        <f>(60/LN(1+Parameters!$B$7))*LN(1+(Parameters!$B$5+O10*Q10)*(LN(1+Parameters!$B$7)/(60*Parameters!$B$6*Parameters!$B$9)))</f>
        <v>400.1418671862769</v>
      </c>
      <c r="S10" s="3">
        <f>(60/LN(1+Parameters!$B$7))*LN(1+(Parameters!$B$5+O10*R10)*(LN(1+Parameters!$B$7)/(60*Parameters!$B$6*Parameters!$B$9)))</f>
        <v>439.1648276811959</v>
      </c>
      <c r="T10" s="3">
        <f>(60/LN(1+Parameters!$B$7))*LN(1+(Parameters!$B$5+O10*S10)*(LN(1+Parameters!$B$7)/(60*Parameters!$B$6*Parameters!$B$9)))</f>
        <v>455.34079071682851</v>
      </c>
      <c r="U10" s="3">
        <f>(60/LN(1+Parameters!$B$7))*LN(1+(Parameters!$B$5+O10*T10)*(LN(1+Parameters!$B$7)/(60*Parameters!$B$6*Parameters!$B$9)))</f>
        <v>461.77090839688054</v>
      </c>
    </row>
    <row r="11" spans="1:21" x14ac:dyDescent="0.25">
      <c r="A11" s="17">
        <v>7</v>
      </c>
      <c r="B11" s="24">
        <f>B10+Route!$I$24+Route!$I$26+N10</f>
        <v>3288.3203721142995</v>
      </c>
      <c r="C11" s="24">
        <f>MIN(Parameters!$B$18,LN(1+B11*Parameters!$B$19/Parameters!$B$14)/LN(1+Parameters!$B$19))</f>
        <v>97.72072097345449</v>
      </c>
      <c r="D11" s="25">
        <f>Parameters!$B$20</f>
        <v>1.6</v>
      </c>
      <c r="E11" s="26">
        <f>D11*(1+Parameters!$B$17)^C11</f>
        <v>4.2306562976914401</v>
      </c>
      <c r="F11" s="24">
        <f>MIN(Parameters!$B$29,Parameters!$B$30/(E11/(IF(Parameters!$B$28="well",Parameters!$B$26,Parameters!$B$25))*(IF(Parameters!$B$28="well",Parameters!$B$23,Parameters!$B$21))))</f>
        <v>0.23636994585111396</v>
      </c>
      <c r="G11" s="24">
        <f>Parameters!$B$5+O11*H11</f>
        <v>579.72919821411733</v>
      </c>
      <c r="H11" s="24">
        <f t="shared" si="0"/>
        <v>479.72919821411733</v>
      </c>
      <c r="I11" s="24">
        <f>Route!$G$24/E11+F11*H11</f>
        <v>202.03229429923698</v>
      </c>
      <c r="J11" s="24">
        <f t="shared" si="1"/>
        <v>277.69690391488035</v>
      </c>
      <c r="K11" s="24">
        <f>MIN(Route!$G$25,K10+MIN(J11*E11,Route!$G$28+Route!$G$25-Route!$G$27))</f>
        <v>1785</v>
      </c>
      <c r="L11" s="23">
        <f>K11/Route!$G$25</f>
        <v>1</v>
      </c>
      <c r="M11" s="18" t="str">
        <f>IF(J11&lt;=0,"STUCK - overhead exceeds the run",IF(AND(K11&gt;=Route!$G$25,A11&gt;=Route!$G$29,OR(K10&lt;Route!$G$25,A10&lt;Route!$G$29)),"LAB OPENS",IF(AND(K11&gt;=Route!$G$25,A11&gt;Route!$G$29),"(lab already open)",IF(J11&lt;Parameters!$B$37,"dead run","ok"))))</f>
        <v>LAB OPENS</v>
      </c>
      <c r="N11" s="3">
        <f>Route!$I$25*MAX(0,K11-K10)/Route!$G$25</f>
        <v>216.67962788570057</v>
      </c>
      <c r="O11" s="3">
        <f>MIN(Parameters!$B$30,Parameters!$B$29*E11/(IF(Parameters!$B$28="well",Parameters!$B$26,Parameters!$B$25))*(IF(Parameters!$B$28="well",Parameters!$B$23,Parameters!$B$21)))</f>
        <v>1</v>
      </c>
      <c r="P11" s="3">
        <f>(60/LN(1+Parameters!$B$7))*LN(1+Parameters!$B$5*(LN(1+Parameters!$B$7)/(60*Parameters!$B$6*Parameters!$B$9)))</f>
        <v>167.57089697704743</v>
      </c>
      <c r="Q11" s="3">
        <f>(60/LN(1+Parameters!$B$7))*LN(1+(Parameters!$B$5+O11*P11)*(LN(1+Parameters!$B$7)/(60*Parameters!$B$6*Parameters!$B$9)))</f>
        <v>322.1837617435458</v>
      </c>
      <c r="R11" s="3">
        <f>(60/LN(1+Parameters!$B$7))*LN(1+(Parameters!$B$5+O11*Q11)*(LN(1+Parameters!$B$7)/(60*Parameters!$B$6*Parameters!$B$9)))</f>
        <v>413.32508306682865</v>
      </c>
      <c r="S11" s="3">
        <f>(60/LN(1+Parameters!$B$7))*LN(1+(Parameters!$B$5+O11*R11)*(LN(1+Parameters!$B$7)/(60*Parameters!$B$6*Parameters!$B$9)))</f>
        <v>455.41907134283667</v>
      </c>
      <c r="T11" s="3">
        <f>(60/LN(1+Parameters!$B$7))*LN(1+(Parameters!$B$5+O11*S11)*(LN(1+Parameters!$B$7)/(60*Parameters!$B$6*Parameters!$B$9)))</f>
        <v>472.83835730077152</v>
      </c>
      <c r="U11" s="3">
        <f>(60/LN(1+Parameters!$B$7))*LN(1+(Parameters!$B$5+O11*T11)*(LN(1+Parameters!$B$7)/(60*Parameters!$B$6*Parameters!$B$9)))</f>
        <v>479.72919821411733</v>
      </c>
    </row>
    <row r="12" spans="1:21" x14ac:dyDescent="0.25">
      <c r="A12" s="17">
        <v>8</v>
      </c>
      <c r="B12" s="24">
        <f>B11+Route!$I$24+Route!$I$26+N11</f>
        <v>3802</v>
      </c>
      <c r="C12" s="24">
        <f>MIN(Parameters!$B$18,LN(1+B12*Parameters!$B$19/Parameters!$B$14)/LN(1+Parameters!$B$19))</f>
        <v>100</v>
      </c>
      <c r="D12" s="25">
        <f>Parameters!$B$20</f>
        <v>1.6</v>
      </c>
      <c r="E12" s="26">
        <f>D12*(1+Parameters!$B$17)^C12</f>
        <v>4.3277021270744465</v>
      </c>
      <c r="F12" s="24">
        <f>MIN(Parameters!$B$29,Parameters!$B$30/(E12/(IF(Parameters!$B$28="well",Parameters!$B$26,Parameters!$B$25))*(IF(Parameters!$B$28="well",Parameters!$B$23,Parameters!$B$21))))</f>
        <v>0.23106950770569928</v>
      </c>
      <c r="G12" s="24">
        <f>Parameters!$B$5+O12*H12</f>
        <v>579.72919821411733</v>
      </c>
      <c r="H12" s="24">
        <f t="shared" si="0"/>
        <v>479.72919821411733</v>
      </c>
      <c r="I12" s="24">
        <f>Route!$G$24/E12+F12*H12</f>
        <v>197.50185505302318</v>
      </c>
      <c r="J12" s="24">
        <f t="shared" si="1"/>
        <v>282.22734316109415</v>
      </c>
      <c r="K12" s="24">
        <f>MIN(Route!$G$25,K11+MIN(J12*E12,Route!$G$28+Route!$G$25-Route!$G$27))</f>
        <v>1785</v>
      </c>
      <c r="L12" s="23">
        <f>K12/Route!$G$25</f>
        <v>1</v>
      </c>
      <c r="M12" s="18" t="str">
        <f>IF(J12&lt;=0,"STUCK - overhead exceeds the run",IF(AND(K12&gt;=Route!$G$25,A12&gt;=Route!$G$29,OR(K11&lt;Route!$G$25,A11&lt;Route!$G$29)),"LAB OPENS",IF(AND(K12&gt;=Route!$G$25,A12&gt;Route!$G$29),"(lab already open)",IF(J12&lt;Parameters!$B$37,"dead run","ok"))))</f>
        <v>(lab already open)</v>
      </c>
      <c r="N12" s="3">
        <f>Route!$I$25*MAX(0,K12-K11)/Route!$G$25</f>
        <v>0</v>
      </c>
      <c r="O12" s="3">
        <f>MIN(Parameters!$B$30,Parameters!$B$29*E12/(IF(Parameters!$B$28="well",Parameters!$B$26,Parameters!$B$25))*(IF(Parameters!$B$28="well",Parameters!$B$23,Parameters!$B$21)))</f>
        <v>1</v>
      </c>
      <c r="P12" s="3">
        <f>(60/LN(1+Parameters!$B$7))*LN(1+Parameters!$B$5*(LN(1+Parameters!$B$7)/(60*Parameters!$B$6*Parameters!$B$9)))</f>
        <v>167.57089697704743</v>
      </c>
      <c r="Q12" s="3">
        <f>(60/LN(1+Parameters!$B$7))*LN(1+(Parameters!$B$5+O12*P12)*(LN(1+Parameters!$B$7)/(60*Parameters!$B$6*Parameters!$B$9)))</f>
        <v>322.1837617435458</v>
      </c>
      <c r="R12" s="3">
        <f>(60/LN(1+Parameters!$B$7))*LN(1+(Parameters!$B$5+O12*Q12)*(LN(1+Parameters!$B$7)/(60*Parameters!$B$6*Parameters!$B$9)))</f>
        <v>413.32508306682865</v>
      </c>
      <c r="S12" s="3">
        <f>(60/LN(1+Parameters!$B$7))*LN(1+(Parameters!$B$5+O12*R12)*(LN(1+Parameters!$B$7)/(60*Parameters!$B$6*Parameters!$B$9)))</f>
        <v>455.41907134283667</v>
      </c>
      <c r="T12" s="3">
        <f>(60/LN(1+Parameters!$B$7))*LN(1+(Parameters!$B$5+O12*S12)*(LN(1+Parameters!$B$7)/(60*Parameters!$B$6*Parameters!$B$9)))</f>
        <v>472.83835730077152</v>
      </c>
      <c r="U12" s="3">
        <f>(60/LN(1+Parameters!$B$7))*LN(1+(Parameters!$B$5+O12*T12)*(LN(1+Parameters!$B$7)/(60*Parameters!$B$6*Parameters!$B$9)))</f>
        <v>479.72919821411733</v>
      </c>
    </row>
    <row r="13" spans="1:21" x14ac:dyDescent="0.25">
      <c r="A13" s="17">
        <v>9</v>
      </c>
      <c r="B13" s="24">
        <f>B12+Route!$I$24+Route!$I$26+N12</f>
        <v>4099</v>
      </c>
      <c r="C13" s="24">
        <f>MIN(Parameters!$B$18,LN(1+B13*Parameters!$B$19/Parameters!$B$14)/LN(1+Parameters!$B$19))</f>
        <v>100</v>
      </c>
      <c r="D13" s="25">
        <f>Parameters!$B$20</f>
        <v>1.6</v>
      </c>
      <c r="E13" s="26">
        <f>D13*(1+Parameters!$B$17)^C13</f>
        <v>4.3277021270744465</v>
      </c>
      <c r="F13" s="24">
        <f>MIN(Parameters!$B$29,Parameters!$B$30/(E13/(IF(Parameters!$B$28="well",Parameters!$B$26,Parameters!$B$25))*(IF(Parameters!$B$28="well",Parameters!$B$23,Parameters!$B$21))))</f>
        <v>0.23106950770569928</v>
      </c>
      <c r="G13" s="24">
        <f>Parameters!$B$5+O13*H13</f>
        <v>579.72919821411733</v>
      </c>
      <c r="H13" s="24">
        <f t="shared" si="0"/>
        <v>479.72919821411733</v>
      </c>
      <c r="I13" s="24">
        <f>Route!$G$24/E13+F13*H13</f>
        <v>197.50185505302318</v>
      </c>
      <c r="J13" s="24">
        <f t="shared" si="1"/>
        <v>282.22734316109415</v>
      </c>
      <c r="K13" s="24">
        <f>MIN(Route!$G$25,K12+MIN(J13*E13,Route!$G$28+Route!$G$25-Route!$G$27))</f>
        <v>1785</v>
      </c>
      <c r="L13" s="23">
        <f>K13/Route!$G$25</f>
        <v>1</v>
      </c>
      <c r="M13" s="18" t="str">
        <f>IF(J13&lt;=0,"STUCK - overhead exceeds the run",IF(AND(K13&gt;=Route!$G$25,A13&gt;=Route!$G$29,OR(K12&lt;Route!$G$25,A12&lt;Route!$G$29)),"LAB OPENS",IF(AND(K13&gt;=Route!$G$25,A13&gt;Route!$G$29),"(lab already open)",IF(J13&lt;Parameters!$B$37,"dead run","ok"))))</f>
        <v>(lab already open)</v>
      </c>
      <c r="N13" s="3">
        <f>Route!$I$25*MAX(0,K13-K12)/Route!$G$25</f>
        <v>0</v>
      </c>
      <c r="O13" s="3">
        <f>MIN(Parameters!$B$30,Parameters!$B$29*E13/(IF(Parameters!$B$28="well",Parameters!$B$26,Parameters!$B$25))*(IF(Parameters!$B$28="well",Parameters!$B$23,Parameters!$B$21)))</f>
        <v>1</v>
      </c>
      <c r="P13" s="3">
        <f>(60/LN(1+Parameters!$B$7))*LN(1+Parameters!$B$5*(LN(1+Parameters!$B$7)/(60*Parameters!$B$6*Parameters!$B$9)))</f>
        <v>167.57089697704743</v>
      </c>
      <c r="Q13" s="3">
        <f>(60/LN(1+Parameters!$B$7))*LN(1+(Parameters!$B$5+O13*P13)*(LN(1+Parameters!$B$7)/(60*Parameters!$B$6*Parameters!$B$9)))</f>
        <v>322.1837617435458</v>
      </c>
      <c r="R13" s="3">
        <f>(60/LN(1+Parameters!$B$7))*LN(1+(Parameters!$B$5+O13*Q13)*(LN(1+Parameters!$B$7)/(60*Parameters!$B$6*Parameters!$B$9)))</f>
        <v>413.32508306682865</v>
      </c>
      <c r="S13" s="3">
        <f>(60/LN(1+Parameters!$B$7))*LN(1+(Parameters!$B$5+O13*R13)*(LN(1+Parameters!$B$7)/(60*Parameters!$B$6*Parameters!$B$9)))</f>
        <v>455.41907134283667</v>
      </c>
      <c r="T13" s="3">
        <f>(60/LN(1+Parameters!$B$7))*LN(1+(Parameters!$B$5+O13*S13)*(LN(1+Parameters!$B$7)/(60*Parameters!$B$6*Parameters!$B$9)))</f>
        <v>472.83835730077152</v>
      </c>
      <c r="U13" s="3">
        <f>(60/LN(1+Parameters!$B$7))*LN(1+(Parameters!$B$5+O13*T13)*(LN(1+Parameters!$B$7)/(60*Parameters!$B$6*Parameters!$B$9)))</f>
        <v>479.72919821411733</v>
      </c>
    </row>
    <row r="14" spans="1:21" x14ac:dyDescent="0.25">
      <c r="A14" s="17">
        <v>10</v>
      </c>
      <c r="B14" s="24">
        <f>B13+Route!$I$24+Route!$I$26+N13</f>
        <v>4396</v>
      </c>
      <c r="C14" s="24">
        <f>MIN(Parameters!$B$18,LN(1+B14*Parameters!$B$19/Parameters!$B$14)/LN(1+Parameters!$B$19))</f>
        <v>100</v>
      </c>
      <c r="D14" s="25">
        <f>Parameters!$B$20</f>
        <v>1.6</v>
      </c>
      <c r="E14" s="26">
        <f>D14*(1+Parameters!$B$17)^C14</f>
        <v>4.3277021270744465</v>
      </c>
      <c r="F14" s="24">
        <f>MIN(Parameters!$B$29,Parameters!$B$30/(E14/(IF(Parameters!$B$28="well",Parameters!$B$26,Parameters!$B$25))*(IF(Parameters!$B$28="well",Parameters!$B$23,Parameters!$B$21))))</f>
        <v>0.23106950770569928</v>
      </c>
      <c r="G14" s="24">
        <f>Parameters!$B$5+O14*H14</f>
        <v>579.72919821411733</v>
      </c>
      <c r="H14" s="24">
        <f t="shared" si="0"/>
        <v>479.72919821411733</v>
      </c>
      <c r="I14" s="24">
        <f>Route!$G$24/E14+F14*H14</f>
        <v>197.50185505302318</v>
      </c>
      <c r="J14" s="24">
        <f t="shared" si="1"/>
        <v>282.22734316109415</v>
      </c>
      <c r="K14" s="24">
        <f>MIN(Route!$G$25,K13+MIN(J14*E14,Route!$G$28+Route!$G$25-Route!$G$27))</f>
        <v>1785</v>
      </c>
      <c r="L14" s="23">
        <f>K14/Route!$G$25</f>
        <v>1</v>
      </c>
      <c r="M14" s="18" t="str">
        <f>IF(J14&lt;=0,"STUCK - overhead exceeds the run",IF(AND(K14&gt;=Route!$G$25,A14&gt;=Route!$G$29,OR(K13&lt;Route!$G$25,A13&lt;Route!$G$29)),"LAB OPENS",IF(AND(K14&gt;=Route!$G$25,A14&gt;Route!$G$29),"(lab already open)",IF(J14&lt;Parameters!$B$37,"dead run","ok"))))</f>
        <v>(lab already open)</v>
      </c>
      <c r="N14" s="3">
        <f>Route!$I$25*MAX(0,K14-K13)/Route!$G$25</f>
        <v>0</v>
      </c>
      <c r="O14" s="3">
        <f>MIN(Parameters!$B$30,Parameters!$B$29*E14/(IF(Parameters!$B$28="well",Parameters!$B$26,Parameters!$B$25))*(IF(Parameters!$B$28="well",Parameters!$B$23,Parameters!$B$21)))</f>
        <v>1</v>
      </c>
      <c r="P14" s="3">
        <f>(60/LN(1+Parameters!$B$7))*LN(1+Parameters!$B$5*(LN(1+Parameters!$B$7)/(60*Parameters!$B$6*Parameters!$B$9)))</f>
        <v>167.57089697704743</v>
      </c>
      <c r="Q14" s="3">
        <f>(60/LN(1+Parameters!$B$7))*LN(1+(Parameters!$B$5+O14*P14)*(LN(1+Parameters!$B$7)/(60*Parameters!$B$6*Parameters!$B$9)))</f>
        <v>322.1837617435458</v>
      </c>
      <c r="R14" s="3">
        <f>(60/LN(1+Parameters!$B$7))*LN(1+(Parameters!$B$5+O14*Q14)*(LN(1+Parameters!$B$7)/(60*Parameters!$B$6*Parameters!$B$9)))</f>
        <v>413.32508306682865</v>
      </c>
      <c r="S14" s="3">
        <f>(60/LN(1+Parameters!$B$7))*LN(1+(Parameters!$B$5+O14*R14)*(LN(1+Parameters!$B$7)/(60*Parameters!$B$6*Parameters!$B$9)))</f>
        <v>455.41907134283667</v>
      </c>
      <c r="T14" s="3">
        <f>(60/LN(1+Parameters!$B$7))*LN(1+(Parameters!$B$5+O14*S14)*(LN(1+Parameters!$B$7)/(60*Parameters!$B$6*Parameters!$B$9)))</f>
        <v>472.83835730077152</v>
      </c>
      <c r="U14" s="3">
        <f>(60/LN(1+Parameters!$B$7))*LN(1+(Parameters!$B$5+O14*T14)*(LN(1+Parameters!$B$7)/(60*Parameters!$B$6*Parameters!$B$9)))</f>
        <v>479.72919821411733</v>
      </c>
    </row>
    <row r="15" spans="1:21" x14ac:dyDescent="0.25">
      <c r="A15" s="17">
        <v>11</v>
      </c>
      <c r="B15" s="24">
        <f>B14+Route!$I$24+Route!$I$26+N14</f>
        <v>4693</v>
      </c>
      <c r="C15" s="24">
        <f>MIN(Parameters!$B$18,LN(1+B15*Parameters!$B$19/Parameters!$B$14)/LN(1+Parameters!$B$19))</f>
        <v>100</v>
      </c>
      <c r="D15" s="25">
        <f>Parameters!$B$20</f>
        <v>1.6</v>
      </c>
      <c r="E15" s="26">
        <f>D15*(1+Parameters!$B$17)^C15</f>
        <v>4.3277021270744465</v>
      </c>
      <c r="F15" s="24">
        <f>MIN(Parameters!$B$29,Parameters!$B$30/(E15/(IF(Parameters!$B$28="well",Parameters!$B$26,Parameters!$B$25))*(IF(Parameters!$B$28="well",Parameters!$B$23,Parameters!$B$21))))</f>
        <v>0.23106950770569928</v>
      </c>
      <c r="G15" s="24">
        <f>Parameters!$B$5+O15*H15</f>
        <v>579.72919821411733</v>
      </c>
      <c r="H15" s="24">
        <f t="shared" si="0"/>
        <v>479.72919821411733</v>
      </c>
      <c r="I15" s="24">
        <f>Route!$G$24/E15+F15*H15</f>
        <v>197.50185505302318</v>
      </c>
      <c r="J15" s="24">
        <f t="shared" si="1"/>
        <v>282.22734316109415</v>
      </c>
      <c r="K15" s="24">
        <f>MIN(Route!$G$25,K14+MIN(J15*E15,Route!$G$28+Route!$G$25-Route!$G$27))</f>
        <v>1785</v>
      </c>
      <c r="L15" s="23">
        <f>K15/Route!$G$25</f>
        <v>1</v>
      </c>
      <c r="M15" s="18" t="str">
        <f>IF(J15&lt;=0,"STUCK - overhead exceeds the run",IF(AND(K15&gt;=Route!$G$25,A15&gt;=Route!$G$29,OR(K14&lt;Route!$G$25,A14&lt;Route!$G$29)),"LAB OPENS",IF(AND(K15&gt;=Route!$G$25,A15&gt;Route!$G$29),"(lab already open)",IF(J15&lt;Parameters!$B$37,"dead run","ok"))))</f>
        <v>(lab already open)</v>
      </c>
      <c r="N15" s="3">
        <f>Route!$I$25*MAX(0,K15-K14)/Route!$G$25</f>
        <v>0</v>
      </c>
      <c r="O15" s="3">
        <f>MIN(Parameters!$B$30,Parameters!$B$29*E15/(IF(Parameters!$B$28="well",Parameters!$B$26,Parameters!$B$25))*(IF(Parameters!$B$28="well",Parameters!$B$23,Parameters!$B$21)))</f>
        <v>1</v>
      </c>
      <c r="P15" s="3">
        <f>(60/LN(1+Parameters!$B$7))*LN(1+Parameters!$B$5*(LN(1+Parameters!$B$7)/(60*Parameters!$B$6*Parameters!$B$9)))</f>
        <v>167.57089697704743</v>
      </c>
      <c r="Q15" s="3">
        <f>(60/LN(1+Parameters!$B$7))*LN(1+(Parameters!$B$5+O15*P15)*(LN(1+Parameters!$B$7)/(60*Parameters!$B$6*Parameters!$B$9)))</f>
        <v>322.1837617435458</v>
      </c>
      <c r="R15" s="3">
        <f>(60/LN(1+Parameters!$B$7))*LN(1+(Parameters!$B$5+O15*Q15)*(LN(1+Parameters!$B$7)/(60*Parameters!$B$6*Parameters!$B$9)))</f>
        <v>413.32508306682865</v>
      </c>
      <c r="S15" s="3">
        <f>(60/LN(1+Parameters!$B$7))*LN(1+(Parameters!$B$5+O15*R15)*(LN(1+Parameters!$B$7)/(60*Parameters!$B$6*Parameters!$B$9)))</f>
        <v>455.41907134283667</v>
      </c>
      <c r="T15" s="3">
        <f>(60/LN(1+Parameters!$B$7))*LN(1+(Parameters!$B$5+O15*S15)*(LN(1+Parameters!$B$7)/(60*Parameters!$B$6*Parameters!$B$9)))</f>
        <v>472.83835730077152</v>
      </c>
      <c r="U15" s="3">
        <f>(60/LN(1+Parameters!$B$7))*LN(1+(Parameters!$B$5+O15*T15)*(LN(1+Parameters!$B$7)/(60*Parameters!$B$6*Parameters!$B$9)))</f>
        <v>479.72919821411733</v>
      </c>
    </row>
    <row r="16" spans="1:21" x14ac:dyDescent="0.25">
      <c r="A16" s="17">
        <v>12</v>
      </c>
      <c r="B16" s="24">
        <f>B15+Route!$I$24+Route!$I$26+N15</f>
        <v>4990</v>
      </c>
      <c r="C16" s="24">
        <f>MIN(Parameters!$B$18,LN(1+B16*Parameters!$B$19/Parameters!$B$14)/LN(1+Parameters!$B$19))</f>
        <v>100</v>
      </c>
      <c r="D16" s="25">
        <f>Parameters!$B$20</f>
        <v>1.6</v>
      </c>
      <c r="E16" s="26">
        <f>D16*(1+Parameters!$B$17)^C16</f>
        <v>4.3277021270744465</v>
      </c>
      <c r="F16" s="24">
        <f>MIN(Parameters!$B$29,Parameters!$B$30/(E16/(IF(Parameters!$B$28="well",Parameters!$B$26,Parameters!$B$25))*(IF(Parameters!$B$28="well",Parameters!$B$23,Parameters!$B$21))))</f>
        <v>0.23106950770569928</v>
      </c>
      <c r="G16" s="24">
        <f>Parameters!$B$5+O16*H16</f>
        <v>579.72919821411733</v>
      </c>
      <c r="H16" s="24">
        <f t="shared" si="0"/>
        <v>479.72919821411733</v>
      </c>
      <c r="I16" s="24">
        <f>Route!$G$24/E16+F16*H16</f>
        <v>197.50185505302318</v>
      </c>
      <c r="J16" s="24">
        <f t="shared" si="1"/>
        <v>282.22734316109415</v>
      </c>
      <c r="K16" s="24">
        <f>MIN(Route!$G$25,K15+MIN(J16*E16,Route!$G$28+Route!$G$25-Route!$G$27))</f>
        <v>1785</v>
      </c>
      <c r="L16" s="23">
        <f>K16/Route!$G$25</f>
        <v>1</v>
      </c>
      <c r="M16" s="18" t="str">
        <f>IF(J16&lt;=0,"STUCK - overhead exceeds the run",IF(AND(K16&gt;=Route!$G$25,A16&gt;=Route!$G$29,OR(K15&lt;Route!$G$25,A15&lt;Route!$G$29)),"LAB OPENS",IF(AND(K16&gt;=Route!$G$25,A16&gt;Route!$G$29),"(lab already open)",IF(J16&lt;Parameters!$B$37,"dead run","ok"))))</f>
        <v>(lab already open)</v>
      </c>
      <c r="N16" s="3">
        <f>Route!$I$25*MAX(0,K16-K15)/Route!$G$25</f>
        <v>0</v>
      </c>
      <c r="O16" s="3">
        <f>MIN(Parameters!$B$30,Parameters!$B$29*E16/(IF(Parameters!$B$28="well",Parameters!$B$26,Parameters!$B$25))*(IF(Parameters!$B$28="well",Parameters!$B$23,Parameters!$B$21)))</f>
        <v>1</v>
      </c>
      <c r="P16" s="3">
        <f>(60/LN(1+Parameters!$B$7))*LN(1+Parameters!$B$5*(LN(1+Parameters!$B$7)/(60*Parameters!$B$6*Parameters!$B$9)))</f>
        <v>167.57089697704743</v>
      </c>
      <c r="Q16" s="3">
        <f>(60/LN(1+Parameters!$B$7))*LN(1+(Parameters!$B$5+O16*P16)*(LN(1+Parameters!$B$7)/(60*Parameters!$B$6*Parameters!$B$9)))</f>
        <v>322.1837617435458</v>
      </c>
      <c r="R16" s="3">
        <f>(60/LN(1+Parameters!$B$7))*LN(1+(Parameters!$B$5+O16*Q16)*(LN(1+Parameters!$B$7)/(60*Parameters!$B$6*Parameters!$B$9)))</f>
        <v>413.32508306682865</v>
      </c>
      <c r="S16" s="3">
        <f>(60/LN(1+Parameters!$B$7))*LN(1+(Parameters!$B$5+O16*R16)*(LN(1+Parameters!$B$7)/(60*Parameters!$B$6*Parameters!$B$9)))</f>
        <v>455.41907134283667</v>
      </c>
      <c r="T16" s="3">
        <f>(60/LN(1+Parameters!$B$7))*LN(1+(Parameters!$B$5+O16*S16)*(LN(1+Parameters!$B$7)/(60*Parameters!$B$6*Parameters!$B$9)))</f>
        <v>472.83835730077152</v>
      </c>
      <c r="U16" s="3">
        <f>(60/LN(1+Parameters!$B$7))*LN(1+(Parameters!$B$5+O16*T16)*(LN(1+Parameters!$B$7)/(60*Parameters!$B$6*Parameters!$B$9)))</f>
        <v>479.72919821411733</v>
      </c>
    </row>
    <row r="17" spans="1:21" x14ac:dyDescent="0.25">
      <c r="A17" s="17">
        <v>13</v>
      </c>
      <c r="B17" s="24">
        <f>B16+Route!$I$24+Route!$I$26+N16</f>
        <v>5287</v>
      </c>
      <c r="C17" s="24">
        <f>MIN(Parameters!$B$18,LN(1+B17*Parameters!$B$19/Parameters!$B$14)/LN(1+Parameters!$B$19))</f>
        <v>100</v>
      </c>
      <c r="D17" s="25">
        <f>Parameters!$B$20</f>
        <v>1.6</v>
      </c>
      <c r="E17" s="26">
        <f>D17*(1+Parameters!$B$17)^C17</f>
        <v>4.3277021270744465</v>
      </c>
      <c r="F17" s="24">
        <f>MIN(Parameters!$B$29,Parameters!$B$30/(E17/(IF(Parameters!$B$28="well",Parameters!$B$26,Parameters!$B$25))*(IF(Parameters!$B$28="well",Parameters!$B$23,Parameters!$B$21))))</f>
        <v>0.23106950770569928</v>
      </c>
      <c r="G17" s="24">
        <f>Parameters!$B$5+O17*H17</f>
        <v>579.72919821411733</v>
      </c>
      <c r="H17" s="24">
        <f t="shared" si="0"/>
        <v>479.72919821411733</v>
      </c>
      <c r="I17" s="24">
        <f>Route!$G$24/E17+F17*H17</f>
        <v>197.50185505302318</v>
      </c>
      <c r="J17" s="24">
        <f t="shared" si="1"/>
        <v>282.22734316109415</v>
      </c>
      <c r="K17" s="24">
        <f>MIN(Route!$G$25,K16+MIN(J17*E17,Route!$G$28+Route!$G$25-Route!$G$27))</f>
        <v>1785</v>
      </c>
      <c r="L17" s="23">
        <f>K17/Route!$G$25</f>
        <v>1</v>
      </c>
      <c r="M17" s="18" t="str">
        <f>IF(J17&lt;=0,"STUCK - overhead exceeds the run",IF(AND(K17&gt;=Route!$G$25,A17&gt;=Route!$G$29,OR(K16&lt;Route!$G$25,A16&lt;Route!$G$29)),"LAB OPENS",IF(AND(K17&gt;=Route!$G$25,A17&gt;Route!$G$29),"(lab already open)",IF(J17&lt;Parameters!$B$37,"dead run","ok"))))</f>
        <v>(lab already open)</v>
      </c>
      <c r="N17" s="3">
        <f>Route!$I$25*MAX(0,K17-K16)/Route!$G$25</f>
        <v>0</v>
      </c>
      <c r="O17" s="3">
        <f>MIN(Parameters!$B$30,Parameters!$B$29*E17/(IF(Parameters!$B$28="well",Parameters!$B$26,Parameters!$B$25))*(IF(Parameters!$B$28="well",Parameters!$B$23,Parameters!$B$21)))</f>
        <v>1</v>
      </c>
      <c r="P17" s="3">
        <f>(60/LN(1+Parameters!$B$7))*LN(1+Parameters!$B$5*(LN(1+Parameters!$B$7)/(60*Parameters!$B$6*Parameters!$B$9)))</f>
        <v>167.57089697704743</v>
      </c>
      <c r="Q17" s="3">
        <f>(60/LN(1+Parameters!$B$7))*LN(1+(Parameters!$B$5+O17*P17)*(LN(1+Parameters!$B$7)/(60*Parameters!$B$6*Parameters!$B$9)))</f>
        <v>322.1837617435458</v>
      </c>
      <c r="R17" s="3">
        <f>(60/LN(1+Parameters!$B$7))*LN(1+(Parameters!$B$5+O17*Q17)*(LN(1+Parameters!$B$7)/(60*Parameters!$B$6*Parameters!$B$9)))</f>
        <v>413.32508306682865</v>
      </c>
      <c r="S17" s="3">
        <f>(60/LN(1+Parameters!$B$7))*LN(1+(Parameters!$B$5+O17*R17)*(LN(1+Parameters!$B$7)/(60*Parameters!$B$6*Parameters!$B$9)))</f>
        <v>455.41907134283667</v>
      </c>
      <c r="T17" s="3">
        <f>(60/LN(1+Parameters!$B$7))*LN(1+(Parameters!$B$5+O17*S17)*(LN(1+Parameters!$B$7)/(60*Parameters!$B$6*Parameters!$B$9)))</f>
        <v>472.83835730077152</v>
      </c>
      <c r="U17" s="3">
        <f>(60/LN(1+Parameters!$B$7))*LN(1+(Parameters!$B$5+O17*T17)*(LN(1+Parameters!$B$7)/(60*Parameters!$B$6*Parameters!$B$9)))</f>
        <v>479.72919821411733</v>
      </c>
    </row>
    <row r="18" spans="1:21" x14ac:dyDescent="0.25">
      <c r="A18" s="17">
        <v>14</v>
      </c>
      <c r="B18" s="24">
        <f>B17+Route!$I$24+Route!$I$26+N17</f>
        <v>5584</v>
      </c>
      <c r="C18" s="24">
        <f>MIN(Parameters!$B$18,LN(1+B18*Parameters!$B$19/Parameters!$B$14)/LN(1+Parameters!$B$19))</f>
        <v>100</v>
      </c>
      <c r="D18" s="25">
        <f>Parameters!$B$20</f>
        <v>1.6</v>
      </c>
      <c r="E18" s="26">
        <f>D18*(1+Parameters!$B$17)^C18</f>
        <v>4.3277021270744465</v>
      </c>
      <c r="F18" s="24">
        <f>MIN(Parameters!$B$29,Parameters!$B$30/(E18/(IF(Parameters!$B$28="well",Parameters!$B$26,Parameters!$B$25))*(IF(Parameters!$B$28="well",Parameters!$B$23,Parameters!$B$21))))</f>
        <v>0.23106950770569928</v>
      </c>
      <c r="G18" s="24">
        <f>Parameters!$B$5+O18*H18</f>
        <v>579.72919821411733</v>
      </c>
      <c r="H18" s="24">
        <f t="shared" si="0"/>
        <v>479.72919821411733</v>
      </c>
      <c r="I18" s="24">
        <f>Route!$G$24/E18+F18*H18</f>
        <v>197.50185505302318</v>
      </c>
      <c r="J18" s="24">
        <f t="shared" si="1"/>
        <v>282.22734316109415</v>
      </c>
      <c r="K18" s="24">
        <f>MIN(Route!$G$25,K17+MIN(J18*E18,Route!$G$28+Route!$G$25-Route!$G$27))</f>
        <v>1785</v>
      </c>
      <c r="L18" s="23">
        <f>K18/Route!$G$25</f>
        <v>1</v>
      </c>
      <c r="M18" s="18" t="str">
        <f>IF(J18&lt;=0,"STUCK - overhead exceeds the run",IF(AND(K18&gt;=Route!$G$25,A18&gt;=Route!$G$29,OR(K17&lt;Route!$G$25,A17&lt;Route!$G$29)),"LAB OPENS",IF(AND(K18&gt;=Route!$G$25,A18&gt;Route!$G$29),"(lab already open)",IF(J18&lt;Parameters!$B$37,"dead run","ok"))))</f>
        <v>(lab already open)</v>
      </c>
      <c r="N18" s="3">
        <f>Route!$I$25*MAX(0,K18-K17)/Route!$G$25</f>
        <v>0</v>
      </c>
      <c r="O18" s="3">
        <f>MIN(Parameters!$B$30,Parameters!$B$29*E18/(IF(Parameters!$B$28="well",Parameters!$B$26,Parameters!$B$25))*(IF(Parameters!$B$28="well",Parameters!$B$23,Parameters!$B$21)))</f>
        <v>1</v>
      </c>
      <c r="P18" s="3">
        <f>(60/LN(1+Parameters!$B$7))*LN(1+Parameters!$B$5*(LN(1+Parameters!$B$7)/(60*Parameters!$B$6*Parameters!$B$9)))</f>
        <v>167.57089697704743</v>
      </c>
      <c r="Q18" s="3">
        <f>(60/LN(1+Parameters!$B$7))*LN(1+(Parameters!$B$5+O18*P18)*(LN(1+Parameters!$B$7)/(60*Parameters!$B$6*Parameters!$B$9)))</f>
        <v>322.1837617435458</v>
      </c>
      <c r="R18" s="3">
        <f>(60/LN(1+Parameters!$B$7))*LN(1+(Parameters!$B$5+O18*Q18)*(LN(1+Parameters!$B$7)/(60*Parameters!$B$6*Parameters!$B$9)))</f>
        <v>413.32508306682865</v>
      </c>
      <c r="S18" s="3">
        <f>(60/LN(1+Parameters!$B$7))*LN(1+(Parameters!$B$5+O18*R18)*(LN(1+Parameters!$B$7)/(60*Parameters!$B$6*Parameters!$B$9)))</f>
        <v>455.41907134283667</v>
      </c>
      <c r="T18" s="3">
        <f>(60/LN(1+Parameters!$B$7))*LN(1+(Parameters!$B$5+O18*S18)*(LN(1+Parameters!$B$7)/(60*Parameters!$B$6*Parameters!$B$9)))</f>
        <v>472.83835730077152</v>
      </c>
      <c r="U18" s="3">
        <f>(60/LN(1+Parameters!$B$7))*LN(1+(Parameters!$B$5+O18*T18)*(LN(1+Parameters!$B$7)/(60*Parameters!$B$6*Parameters!$B$9)))</f>
        <v>479.72919821411733</v>
      </c>
    </row>
    <row r="19" spans="1:21" x14ac:dyDescent="0.25">
      <c r="A19" s="17">
        <v>15</v>
      </c>
      <c r="B19" s="24">
        <f>B18+Route!$I$24+Route!$I$26+N18</f>
        <v>5881</v>
      </c>
      <c r="C19" s="24">
        <f>MIN(Parameters!$B$18,LN(1+B19*Parameters!$B$19/Parameters!$B$14)/LN(1+Parameters!$B$19))</f>
        <v>100</v>
      </c>
      <c r="D19" s="25">
        <f>Parameters!$B$20</f>
        <v>1.6</v>
      </c>
      <c r="E19" s="26">
        <f>D19*(1+Parameters!$B$17)^C19</f>
        <v>4.3277021270744465</v>
      </c>
      <c r="F19" s="24">
        <f>MIN(Parameters!$B$29,Parameters!$B$30/(E19/(IF(Parameters!$B$28="well",Parameters!$B$26,Parameters!$B$25))*(IF(Parameters!$B$28="well",Parameters!$B$23,Parameters!$B$21))))</f>
        <v>0.23106950770569928</v>
      </c>
      <c r="G19" s="24">
        <f>Parameters!$B$5+O19*H19</f>
        <v>579.72919821411733</v>
      </c>
      <c r="H19" s="24">
        <f t="shared" si="0"/>
        <v>479.72919821411733</v>
      </c>
      <c r="I19" s="24">
        <f>Route!$G$24/E19+F19*H19</f>
        <v>197.50185505302318</v>
      </c>
      <c r="J19" s="24">
        <f t="shared" si="1"/>
        <v>282.22734316109415</v>
      </c>
      <c r="K19" s="24">
        <f>MIN(Route!$G$25,K18+MIN(J19*E19,Route!$G$28+Route!$G$25-Route!$G$27))</f>
        <v>1785</v>
      </c>
      <c r="L19" s="23">
        <f>K19/Route!$G$25</f>
        <v>1</v>
      </c>
      <c r="M19" s="18" t="str">
        <f>IF(J19&lt;=0,"STUCK - overhead exceeds the run",IF(AND(K19&gt;=Route!$G$25,A19&gt;=Route!$G$29,OR(K18&lt;Route!$G$25,A18&lt;Route!$G$29)),"LAB OPENS",IF(AND(K19&gt;=Route!$G$25,A19&gt;Route!$G$29),"(lab already open)",IF(J19&lt;Parameters!$B$37,"dead run","ok"))))</f>
        <v>(lab already open)</v>
      </c>
      <c r="N19" s="3">
        <f>Route!$I$25*MAX(0,K19-K18)/Route!$G$25</f>
        <v>0</v>
      </c>
      <c r="O19" s="3">
        <f>MIN(Parameters!$B$30,Parameters!$B$29*E19/(IF(Parameters!$B$28="well",Parameters!$B$26,Parameters!$B$25))*(IF(Parameters!$B$28="well",Parameters!$B$23,Parameters!$B$21)))</f>
        <v>1</v>
      </c>
      <c r="P19" s="3">
        <f>(60/LN(1+Parameters!$B$7))*LN(1+Parameters!$B$5*(LN(1+Parameters!$B$7)/(60*Parameters!$B$6*Parameters!$B$9)))</f>
        <v>167.57089697704743</v>
      </c>
      <c r="Q19" s="3">
        <f>(60/LN(1+Parameters!$B$7))*LN(1+(Parameters!$B$5+O19*P19)*(LN(1+Parameters!$B$7)/(60*Parameters!$B$6*Parameters!$B$9)))</f>
        <v>322.1837617435458</v>
      </c>
      <c r="R19" s="3">
        <f>(60/LN(1+Parameters!$B$7))*LN(1+(Parameters!$B$5+O19*Q19)*(LN(1+Parameters!$B$7)/(60*Parameters!$B$6*Parameters!$B$9)))</f>
        <v>413.32508306682865</v>
      </c>
      <c r="S19" s="3">
        <f>(60/LN(1+Parameters!$B$7))*LN(1+(Parameters!$B$5+O19*R19)*(LN(1+Parameters!$B$7)/(60*Parameters!$B$6*Parameters!$B$9)))</f>
        <v>455.41907134283667</v>
      </c>
      <c r="T19" s="3">
        <f>(60/LN(1+Parameters!$B$7))*LN(1+(Parameters!$B$5+O19*S19)*(LN(1+Parameters!$B$7)/(60*Parameters!$B$6*Parameters!$B$9)))</f>
        <v>472.83835730077152</v>
      </c>
      <c r="U19" s="3">
        <f>(60/LN(1+Parameters!$B$7))*LN(1+(Parameters!$B$5+O19*T19)*(LN(1+Parameters!$B$7)/(60*Parameters!$B$6*Parameters!$B$9)))</f>
        <v>479.72919821411733</v>
      </c>
    </row>
    <row r="20" spans="1:21" x14ac:dyDescent="0.25">
      <c r="A20" s="17">
        <v>16</v>
      </c>
      <c r="B20" s="24">
        <f>B19+Route!$I$24+Route!$I$26+N19</f>
        <v>6178</v>
      </c>
      <c r="C20" s="24">
        <f>MIN(Parameters!$B$18,LN(1+B20*Parameters!$B$19/Parameters!$B$14)/LN(1+Parameters!$B$19))</f>
        <v>100</v>
      </c>
      <c r="D20" s="25">
        <f>Parameters!$B$20</f>
        <v>1.6</v>
      </c>
      <c r="E20" s="26">
        <f>D20*(1+Parameters!$B$17)^C20</f>
        <v>4.3277021270744465</v>
      </c>
      <c r="F20" s="24">
        <f>MIN(Parameters!$B$29,Parameters!$B$30/(E20/(IF(Parameters!$B$28="well",Parameters!$B$26,Parameters!$B$25))*(IF(Parameters!$B$28="well",Parameters!$B$23,Parameters!$B$21))))</f>
        <v>0.23106950770569928</v>
      </c>
      <c r="G20" s="24">
        <f>Parameters!$B$5+O20*H20</f>
        <v>579.72919821411733</v>
      </c>
      <c r="H20" s="24">
        <f t="shared" si="0"/>
        <v>479.72919821411733</v>
      </c>
      <c r="I20" s="24">
        <f>Route!$G$24/E20+F20*H20</f>
        <v>197.50185505302318</v>
      </c>
      <c r="J20" s="24">
        <f t="shared" si="1"/>
        <v>282.22734316109415</v>
      </c>
      <c r="K20" s="24">
        <f>MIN(Route!$G$25,K19+MIN(J20*E20,Route!$G$28+Route!$G$25-Route!$G$27))</f>
        <v>1785</v>
      </c>
      <c r="L20" s="23">
        <f>K20/Route!$G$25</f>
        <v>1</v>
      </c>
      <c r="M20" s="18" t="str">
        <f>IF(J20&lt;=0,"STUCK - overhead exceeds the run",IF(AND(K20&gt;=Route!$G$25,A20&gt;=Route!$G$29,OR(K19&lt;Route!$G$25,A19&lt;Route!$G$29)),"LAB OPENS",IF(AND(K20&gt;=Route!$G$25,A20&gt;Route!$G$29),"(lab already open)",IF(J20&lt;Parameters!$B$37,"dead run","ok"))))</f>
        <v>(lab already open)</v>
      </c>
      <c r="N20" s="3">
        <f>Route!$I$25*MAX(0,K20-K19)/Route!$G$25</f>
        <v>0</v>
      </c>
      <c r="O20" s="3">
        <f>MIN(Parameters!$B$30,Parameters!$B$29*E20/(IF(Parameters!$B$28="well",Parameters!$B$26,Parameters!$B$25))*(IF(Parameters!$B$28="well",Parameters!$B$23,Parameters!$B$21)))</f>
        <v>1</v>
      </c>
      <c r="P20" s="3">
        <f>(60/LN(1+Parameters!$B$7))*LN(1+Parameters!$B$5*(LN(1+Parameters!$B$7)/(60*Parameters!$B$6*Parameters!$B$9)))</f>
        <v>167.57089697704743</v>
      </c>
      <c r="Q20" s="3">
        <f>(60/LN(1+Parameters!$B$7))*LN(1+(Parameters!$B$5+O20*P20)*(LN(1+Parameters!$B$7)/(60*Parameters!$B$6*Parameters!$B$9)))</f>
        <v>322.1837617435458</v>
      </c>
      <c r="R20" s="3">
        <f>(60/LN(1+Parameters!$B$7))*LN(1+(Parameters!$B$5+O20*Q20)*(LN(1+Parameters!$B$7)/(60*Parameters!$B$6*Parameters!$B$9)))</f>
        <v>413.32508306682865</v>
      </c>
      <c r="S20" s="3">
        <f>(60/LN(1+Parameters!$B$7))*LN(1+(Parameters!$B$5+O20*R20)*(LN(1+Parameters!$B$7)/(60*Parameters!$B$6*Parameters!$B$9)))</f>
        <v>455.41907134283667</v>
      </c>
      <c r="T20" s="3">
        <f>(60/LN(1+Parameters!$B$7))*LN(1+(Parameters!$B$5+O20*S20)*(LN(1+Parameters!$B$7)/(60*Parameters!$B$6*Parameters!$B$9)))</f>
        <v>472.83835730077152</v>
      </c>
      <c r="U20" s="3">
        <f>(60/LN(1+Parameters!$B$7))*LN(1+(Parameters!$B$5+O20*T20)*(LN(1+Parameters!$B$7)/(60*Parameters!$B$6*Parameters!$B$9)))</f>
        <v>479.72919821411733</v>
      </c>
    </row>
    <row r="21" spans="1:21" x14ac:dyDescent="0.25">
      <c r="A21" s="17">
        <v>17</v>
      </c>
      <c r="B21" s="24">
        <f>B20+Route!$I$24+Route!$I$26+N20</f>
        <v>6475</v>
      </c>
      <c r="C21" s="24">
        <f>MIN(Parameters!$B$18,LN(1+B21*Parameters!$B$19/Parameters!$B$14)/LN(1+Parameters!$B$19))</f>
        <v>100</v>
      </c>
      <c r="D21" s="25">
        <f>Parameters!$B$20</f>
        <v>1.6</v>
      </c>
      <c r="E21" s="26">
        <f>D21*(1+Parameters!$B$17)^C21</f>
        <v>4.3277021270744465</v>
      </c>
      <c r="F21" s="24">
        <f>MIN(Parameters!$B$29,Parameters!$B$30/(E21/(IF(Parameters!$B$28="well",Parameters!$B$26,Parameters!$B$25))*(IF(Parameters!$B$28="well",Parameters!$B$23,Parameters!$B$21))))</f>
        <v>0.23106950770569928</v>
      </c>
      <c r="G21" s="24">
        <f>Parameters!$B$5+O21*H21</f>
        <v>579.72919821411733</v>
      </c>
      <c r="H21" s="24">
        <f t="shared" si="0"/>
        <v>479.72919821411733</v>
      </c>
      <c r="I21" s="24">
        <f>Route!$G$24/E21+F21*H21</f>
        <v>197.50185505302318</v>
      </c>
      <c r="J21" s="24">
        <f t="shared" si="1"/>
        <v>282.22734316109415</v>
      </c>
      <c r="K21" s="24">
        <f>MIN(Route!$G$25,K20+MIN(J21*E21,Route!$G$28+Route!$G$25-Route!$G$27))</f>
        <v>1785</v>
      </c>
      <c r="L21" s="23">
        <f>K21/Route!$G$25</f>
        <v>1</v>
      </c>
      <c r="M21" s="18" t="str">
        <f>IF(J21&lt;=0,"STUCK - overhead exceeds the run",IF(AND(K21&gt;=Route!$G$25,A21&gt;=Route!$G$29,OR(K20&lt;Route!$G$25,A20&lt;Route!$G$29)),"LAB OPENS",IF(AND(K21&gt;=Route!$G$25,A21&gt;Route!$G$29),"(lab already open)",IF(J21&lt;Parameters!$B$37,"dead run","ok"))))</f>
        <v>(lab already open)</v>
      </c>
      <c r="N21" s="3">
        <f>Route!$I$25*MAX(0,K21-K20)/Route!$G$25</f>
        <v>0</v>
      </c>
      <c r="O21" s="3">
        <f>MIN(Parameters!$B$30,Parameters!$B$29*E21/(IF(Parameters!$B$28="well",Parameters!$B$26,Parameters!$B$25))*(IF(Parameters!$B$28="well",Parameters!$B$23,Parameters!$B$21)))</f>
        <v>1</v>
      </c>
      <c r="P21" s="3">
        <f>(60/LN(1+Parameters!$B$7))*LN(1+Parameters!$B$5*(LN(1+Parameters!$B$7)/(60*Parameters!$B$6*Parameters!$B$9)))</f>
        <v>167.57089697704743</v>
      </c>
      <c r="Q21" s="3">
        <f>(60/LN(1+Parameters!$B$7))*LN(1+(Parameters!$B$5+O21*P21)*(LN(1+Parameters!$B$7)/(60*Parameters!$B$6*Parameters!$B$9)))</f>
        <v>322.1837617435458</v>
      </c>
      <c r="R21" s="3">
        <f>(60/LN(1+Parameters!$B$7))*LN(1+(Parameters!$B$5+O21*Q21)*(LN(1+Parameters!$B$7)/(60*Parameters!$B$6*Parameters!$B$9)))</f>
        <v>413.32508306682865</v>
      </c>
      <c r="S21" s="3">
        <f>(60/LN(1+Parameters!$B$7))*LN(1+(Parameters!$B$5+O21*R21)*(LN(1+Parameters!$B$7)/(60*Parameters!$B$6*Parameters!$B$9)))</f>
        <v>455.41907134283667</v>
      </c>
      <c r="T21" s="3">
        <f>(60/LN(1+Parameters!$B$7))*LN(1+(Parameters!$B$5+O21*S21)*(LN(1+Parameters!$B$7)/(60*Parameters!$B$6*Parameters!$B$9)))</f>
        <v>472.83835730077152</v>
      </c>
      <c r="U21" s="3">
        <f>(60/LN(1+Parameters!$B$7))*LN(1+(Parameters!$B$5+O21*T21)*(LN(1+Parameters!$B$7)/(60*Parameters!$B$6*Parameters!$B$9)))</f>
        <v>479.72919821411733</v>
      </c>
    </row>
    <row r="22" spans="1:21" x14ac:dyDescent="0.25">
      <c r="A22" s="17">
        <v>18</v>
      </c>
      <c r="B22" s="24">
        <f>B21+Route!$I$24+Route!$I$26+N21</f>
        <v>6772</v>
      </c>
      <c r="C22" s="24">
        <f>MIN(Parameters!$B$18,LN(1+B22*Parameters!$B$19/Parameters!$B$14)/LN(1+Parameters!$B$19))</f>
        <v>100</v>
      </c>
      <c r="D22" s="25">
        <f>Parameters!$B$20</f>
        <v>1.6</v>
      </c>
      <c r="E22" s="26">
        <f>D22*(1+Parameters!$B$17)^C22</f>
        <v>4.3277021270744465</v>
      </c>
      <c r="F22" s="24">
        <f>MIN(Parameters!$B$29,Parameters!$B$30/(E22/(IF(Parameters!$B$28="well",Parameters!$B$26,Parameters!$B$25))*(IF(Parameters!$B$28="well",Parameters!$B$23,Parameters!$B$21))))</f>
        <v>0.23106950770569928</v>
      </c>
      <c r="G22" s="24">
        <f>Parameters!$B$5+O22*H22</f>
        <v>579.72919821411733</v>
      </c>
      <c r="H22" s="24">
        <f t="shared" si="0"/>
        <v>479.72919821411733</v>
      </c>
      <c r="I22" s="24">
        <f>Route!$G$24/E22+F22*H22</f>
        <v>197.50185505302318</v>
      </c>
      <c r="J22" s="24">
        <f t="shared" si="1"/>
        <v>282.22734316109415</v>
      </c>
      <c r="K22" s="24">
        <f>MIN(Route!$G$25,K21+MIN(J22*E22,Route!$G$28+Route!$G$25-Route!$G$27))</f>
        <v>1785</v>
      </c>
      <c r="L22" s="23">
        <f>K22/Route!$G$25</f>
        <v>1</v>
      </c>
      <c r="M22" s="18" t="str">
        <f>IF(J22&lt;=0,"STUCK - overhead exceeds the run",IF(AND(K22&gt;=Route!$G$25,A22&gt;=Route!$G$29,OR(K21&lt;Route!$G$25,A21&lt;Route!$G$29)),"LAB OPENS",IF(AND(K22&gt;=Route!$G$25,A22&gt;Route!$G$29),"(lab already open)",IF(J22&lt;Parameters!$B$37,"dead run","ok"))))</f>
        <v>(lab already open)</v>
      </c>
      <c r="N22" s="3">
        <f>Route!$I$25*MAX(0,K22-K21)/Route!$G$25</f>
        <v>0</v>
      </c>
      <c r="O22" s="3">
        <f>MIN(Parameters!$B$30,Parameters!$B$29*E22/(IF(Parameters!$B$28="well",Parameters!$B$26,Parameters!$B$25))*(IF(Parameters!$B$28="well",Parameters!$B$23,Parameters!$B$21)))</f>
        <v>1</v>
      </c>
      <c r="P22" s="3">
        <f>(60/LN(1+Parameters!$B$7))*LN(1+Parameters!$B$5*(LN(1+Parameters!$B$7)/(60*Parameters!$B$6*Parameters!$B$9)))</f>
        <v>167.57089697704743</v>
      </c>
      <c r="Q22" s="3">
        <f>(60/LN(1+Parameters!$B$7))*LN(1+(Parameters!$B$5+O22*P22)*(LN(1+Parameters!$B$7)/(60*Parameters!$B$6*Parameters!$B$9)))</f>
        <v>322.1837617435458</v>
      </c>
      <c r="R22" s="3">
        <f>(60/LN(1+Parameters!$B$7))*LN(1+(Parameters!$B$5+O22*Q22)*(LN(1+Parameters!$B$7)/(60*Parameters!$B$6*Parameters!$B$9)))</f>
        <v>413.32508306682865</v>
      </c>
      <c r="S22" s="3">
        <f>(60/LN(1+Parameters!$B$7))*LN(1+(Parameters!$B$5+O22*R22)*(LN(1+Parameters!$B$7)/(60*Parameters!$B$6*Parameters!$B$9)))</f>
        <v>455.41907134283667</v>
      </c>
      <c r="T22" s="3">
        <f>(60/LN(1+Parameters!$B$7))*LN(1+(Parameters!$B$5+O22*S22)*(LN(1+Parameters!$B$7)/(60*Parameters!$B$6*Parameters!$B$9)))</f>
        <v>472.83835730077152</v>
      </c>
      <c r="U22" s="3">
        <f>(60/LN(1+Parameters!$B$7))*LN(1+(Parameters!$B$5+O22*T22)*(LN(1+Parameters!$B$7)/(60*Parameters!$B$6*Parameters!$B$9)))</f>
        <v>479.72919821411733</v>
      </c>
    </row>
    <row r="23" spans="1:21" x14ac:dyDescent="0.25">
      <c r="A23" s="17">
        <v>19</v>
      </c>
      <c r="B23" s="24">
        <f>B22+Route!$I$24+Route!$I$26+N22</f>
        <v>7069</v>
      </c>
      <c r="C23" s="24">
        <f>MIN(Parameters!$B$18,LN(1+B23*Parameters!$B$19/Parameters!$B$14)/LN(1+Parameters!$B$19))</f>
        <v>100</v>
      </c>
      <c r="D23" s="25">
        <f>Parameters!$B$20</f>
        <v>1.6</v>
      </c>
      <c r="E23" s="26">
        <f>D23*(1+Parameters!$B$17)^C23</f>
        <v>4.3277021270744465</v>
      </c>
      <c r="F23" s="24">
        <f>MIN(Parameters!$B$29,Parameters!$B$30/(E23/(IF(Parameters!$B$28="well",Parameters!$B$26,Parameters!$B$25))*(IF(Parameters!$B$28="well",Parameters!$B$23,Parameters!$B$21))))</f>
        <v>0.23106950770569928</v>
      </c>
      <c r="G23" s="24">
        <f>Parameters!$B$5+O23*H23</f>
        <v>579.72919821411733</v>
      </c>
      <c r="H23" s="24">
        <f t="shared" si="0"/>
        <v>479.72919821411733</v>
      </c>
      <c r="I23" s="24">
        <f>Route!$G$24/E23+F23*H23</f>
        <v>197.50185505302318</v>
      </c>
      <c r="J23" s="24">
        <f t="shared" si="1"/>
        <v>282.22734316109415</v>
      </c>
      <c r="K23" s="24">
        <f>MIN(Route!$G$25,K22+MIN(J23*E23,Route!$G$28+Route!$G$25-Route!$G$27))</f>
        <v>1785</v>
      </c>
      <c r="L23" s="23">
        <f>K23/Route!$G$25</f>
        <v>1</v>
      </c>
      <c r="M23" s="18" t="str">
        <f>IF(J23&lt;=0,"STUCK - overhead exceeds the run",IF(AND(K23&gt;=Route!$G$25,A23&gt;=Route!$G$29,OR(K22&lt;Route!$G$25,A22&lt;Route!$G$29)),"LAB OPENS",IF(AND(K23&gt;=Route!$G$25,A23&gt;Route!$G$29),"(lab already open)",IF(J23&lt;Parameters!$B$37,"dead run","ok"))))</f>
        <v>(lab already open)</v>
      </c>
      <c r="N23" s="3">
        <f>Route!$I$25*MAX(0,K23-K22)/Route!$G$25</f>
        <v>0</v>
      </c>
      <c r="O23" s="3">
        <f>MIN(Parameters!$B$30,Parameters!$B$29*E23/(IF(Parameters!$B$28="well",Parameters!$B$26,Parameters!$B$25))*(IF(Parameters!$B$28="well",Parameters!$B$23,Parameters!$B$21)))</f>
        <v>1</v>
      </c>
      <c r="P23" s="3">
        <f>(60/LN(1+Parameters!$B$7))*LN(1+Parameters!$B$5*(LN(1+Parameters!$B$7)/(60*Parameters!$B$6*Parameters!$B$9)))</f>
        <v>167.57089697704743</v>
      </c>
      <c r="Q23" s="3">
        <f>(60/LN(1+Parameters!$B$7))*LN(1+(Parameters!$B$5+O23*P23)*(LN(1+Parameters!$B$7)/(60*Parameters!$B$6*Parameters!$B$9)))</f>
        <v>322.1837617435458</v>
      </c>
      <c r="R23" s="3">
        <f>(60/LN(1+Parameters!$B$7))*LN(1+(Parameters!$B$5+O23*Q23)*(LN(1+Parameters!$B$7)/(60*Parameters!$B$6*Parameters!$B$9)))</f>
        <v>413.32508306682865</v>
      </c>
      <c r="S23" s="3">
        <f>(60/LN(1+Parameters!$B$7))*LN(1+(Parameters!$B$5+O23*R23)*(LN(1+Parameters!$B$7)/(60*Parameters!$B$6*Parameters!$B$9)))</f>
        <v>455.41907134283667</v>
      </c>
      <c r="T23" s="3">
        <f>(60/LN(1+Parameters!$B$7))*LN(1+(Parameters!$B$5+O23*S23)*(LN(1+Parameters!$B$7)/(60*Parameters!$B$6*Parameters!$B$9)))</f>
        <v>472.83835730077152</v>
      </c>
      <c r="U23" s="3">
        <f>(60/LN(1+Parameters!$B$7))*LN(1+(Parameters!$B$5+O23*T23)*(LN(1+Parameters!$B$7)/(60*Parameters!$B$6*Parameters!$B$9)))</f>
        <v>479.72919821411733</v>
      </c>
    </row>
    <row r="24" spans="1:21" x14ac:dyDescent="0.25">
      <c r="A24" s="17">
        <v>20</v>
      </c>
      <c r="B24" s="24">
        <f>B23+Route!$I$24+Route!$I$26+N23</f>
        <v>7366</v>
      </c>
      <c r="C24" s="24">
        <f>MIN(Parameters!$B$18,LN(1+B24*Parameters!$B$19/Parameters!$B$14)/LN(1+Parameters!$B$19))</f>
        <v>100</v>
      </c>
      <c r="D24" s="25">
        <f>Parameters!$B$20</f>
        <v>1.6</v>
      </c>
      <c r="E24" s="26">
        <f>D24*(1+Parameters!$B$17)^C24</f>
        <v>4.3277021270744465</v>
      </c>
      <c r="F24" s="24">
        <f>MIN(Parameters!$B$29,Parameters!$B$30/(E24/(IF(Parameters!$B$28="well",Parameters!$B$26,Parameters!$B$25))*(IF(Parameters!$B$28="well",Parameters!$B$23,Parameters!$B$21))))</f>
        <v>0.23106950770569928</v>
      </c>
      <c r="G24" s="24">
        <f>Parameters!$B$5+O24*H24</f>
        <v>579.72919821411733</v>
      </c>
      <c r="H24" s="24">
        <f t="shared" si="0"/>
        <v>479.72919821411733</v>
      </c>
      <c r="I24" s="24">
        <f>Route!$G$24/E24+F24*H24</f>
        <v>197.50185505302318</v>
      </c>
      <c r="J24" s="24">
        <f t="shared" si="1"/>
        <v>282.22734316109415</v>
      </c>
      <c r="K24" s="24">
        <f>MIN(Route!$G$25,K23+MIN(J24*E24,Route!$G$28+Route!$G$25-Route!$G$27))</f>
        <v>1785</v>
      </c>
      <c r="L24" s="23">
        <f>K24/Route!$G$25</f>
        <v>1</v>
      </c>
      <c r="M24" s="18" t="str">
        <f>IF(J24&lt;=0,"STUCK - overhead exceeds the run",IF(AND(K24&gt;=Route!$G$25,A24&gt;=Route!$G$29,OR(K23&lt;Route!$G$25,A23&lt;Route!$G$29)),"LAB OPENS",IF(AND(K24&gt;=Route!$G$25,A24&gt;Route!$G$29),"(lab already open)",IF(J24&lt;Parameters!$B$37,"dead run","ok"))))</f>
        <v>(lab already open)</v>
      </c>
      <c r="N24" s="3">
        <f>Route!$I$25*MAX(0,K24-K23)/Route!$G$25</f>
        <v>0</v>
      </c>
      <c r="O24" s="3">
        <f>MIN(Parameters!$B$30,Parameters!$B$29*E24/(IF(Parameters!$B$28="well",Parameters!$B$26,Parameters!$B$25))*(IF(Parameters!$B$28="well",Parameters!$B$23,Parameters!$B$21)))</f>
        <v>1</v>
      </c>
      <c r="P24" s="3">
        <f>(60/LN(1+Parameters!$B$7))*LN(1+Parameters!$B$5*(LN(1+Parameters!$B$7)/(60*Parameters!$B$6*Parameters!$B$9)))</f>
        <v>167.57089697704743</v>
      </c>
      <c r="Q24" s="3">
        <f>(60/LN(1+Parameters!$B$7))*LN(1+(Parameters!$B$5+O24*P24)*(LN(1+Parameters!$B$7)/(60*Parameters!$B$6*Parameters!$B$9)))</f>
        <v>322.1837617435458</v>
      </c>
      <c r="R24" s="3">
        <f>(60/LN(1+Parameters!$B$7))*LN(1+(Parameters!$B$5+O24*Q24)*(LN(1+Parameters!$B$7)/(60*Parameters!$B$6*Parameters!$B$9)))</f>
        <v>413.32508306682865</v>
      </c>
      <c r="S24" s="3">
        <f>(60/LN(1+Parameters!$B$7))*LN(1+(Parameters!$B$5+O24*R24)*(LN(1+Parameters!$B$7)/(60*Parameters!$B$6*Parameters!$B$9)))</f>
        <v>455.41907134283667</v>
      </c>
      <c r="T24" s="3">
        <f>(60/LN(1+Parameters!$B$7))*LN(1+(Parameters!$B$5+O24*S24)*(LN(1+Parameters!$B$7)/(60*Parameters!$B$6*Parameters!$B$9)))</f>
        <v>472.83835730077152</v>
      </c>
      <c r="U24" s="3">
        <f>(60/LN(1+Parameters!$B$7))*LN(1+(Parameters!$B$5+O24*T24)*(LN(1+Parameters!$B$7)/(60*Parameters!$B$6*Parameters!$B$9)))</f>
        <v>479.72919821411733</v>
      </c>
    </row>
    <row r="25" spans="1:21" x14ac:dyDescent="0.25">
      <c r="A25" s="17">
        <v>21</v>
      </c>
      <c r="B25" s="24">
        <f>B24+Route!$I$24+Route!$I$26+N24</f>
        <v>7663</v>
      </c>
      <c r="C25" s="24">
        <f>MIN(Parameters!$B$18,LN(1+B25*Parameters!$B$19/Parameters!$B$14)/LN(1+Parameters!$B$19))</f>
        <v>100</v>
      </c>
      <c r="D25" s="25">
        <f>Parameters!$B$20</f>
        <v>1.6</v>
      </c>
      <c r="E25" s="26">
        <f>D25*(1+Parameters!$B$17)^C25</f>
        <v>4.3277021270744465</v>
      </c>
      <c r="F25" s="24">
        <f>MIN(Parameters!$B$29,Parameters!$B$30/(E25/(IF(Parameters!$B$28="well",Parameters!$B$26,Parameters!$B$25))*(IF(Parameters!$B$28="well",Parameters!$B$23,Parameters!$B$21))))</f>
        <v>0.23106950770569928</v>
      </c>
      <c r="G25" s="24">
        <f>Parameters!$B$5+O25*H25</f>
        <v>579.72919821411733</v>
      </c>
      <c r="H25" s="24">
        <f t="shared" si="0"/>
        <v>479.72919821411733</v>
      </c>
      <c r="I25" s="24">
        <f>Route!$G$24/E25+F25*H25</f>
        <v>197.50185505302318</v>
      </c>
      <c r="J25" s="24">
        <f t="shared" si="1"/>
        <v>282.22734316109415</v>
      </c>
      <c r="K25" s="24">
        <f>MIN(Route!$G$25,K24+MIN(J25*E25,Route!$G$28+Route!$G$25-Route!$G$27))</f>
        <v>1785</v>
      </c>
      <c r="L25" s="23">
        <f>K25/Route!$G$25</f>
        <v>1</v>
      </c>
      <c r="M25" s="18" t="str">
        <f>IF(J25&lt;=0,"STUCK - overhead exceeds the run",IF(AND(K25&gt;=Route!$G$25,A25&gt;=Route!$G$29,OR(K24&lt;Route!$G$25,A24&lt;Route!$G$29)),"LAB OPENS",IF(AND(K25&gt;=Route!$G$25,A25&gt;Route!$G$29),"(lab already open)",IF(J25&lt;Parameters!$B$37,"dead run","ok"))))</f>
        <v>(lab already open)</v>
      </c>
      <c r="N25" s="3">
        <f>Route!$I$25*MAX(0,K25-K24)/Route!$G$25</f>
        <v>0</v>
      </c>
      <c r="O25" s="3">
        <f>MIN(Parameters!$B$30,Parameters!$B$29*E25/(IF(Parameters!$B$28="well",Parameters!$B$26,Parameters!$B$25))*(IF(Parameters!$B$28="well",Parameters!$B$23,Parameters!$B$21)))</f>
        <v>1</v>
      </c>
      <c r="P25" s="3">
        <f>(60/LN(1+Parameters!$B$7))*LN(1+Parameters!$B$5*(LN(1+Parameters!$B$7)/(60*Parameters!$B$6*Parameters!$B$9)))</f>
        <v>167.57089697704743</v>
      </c>
      <c r="Q25" s="3">
        <f>(60/LN(1+Parameters!$B$7))*LN(1+(Parameters!$B$5+O25*P25)*(LN(1+Parameters!$B$7)/(60*Parameters!$B$6*Parameters!$B$9)))</f>
        <v>322.1837617435458</v>
      </c>
      <c r="R25" s="3">
        <f>(60/LN(1+Parameters!$B$7))*LN(1+(Parameters!$B$5+O25*Q25)*(LN(1+Parameters!$B$7)/(60*Parameters!$B$6*Parameters!$B$9)))</f>
        <v>413.32508306682865</v>
      </c>
      <c r="S25" s="3">
        <f>(60/LN(1+Parameters!$B$7))*LN(1+(Parameters!$B$5+O25*R25)*(LN(1+Parameters!$B$7)/(60*Parameters!$B$6*Parameters!$B$9)))</f>
        <v>455.41907134283667</v>
      </c>
      <c r="T25" s="3">
        <f>(60/LN(1+Parameters!$B$7))*LN(1+(Parameters!$B$5+O25*S25)*(LN(1+Parameters!$B$7)/(60*Parameters!$B$6*Parameters!$B$9)))</f>
        <v>472.83835730077152</v>
      </c>
      <c r="U25" s="3">
        <f>(60/LN(1+Parameters!$B$7))*LN(1+(Parameters!$B$5+O25*T25)*(LN(1+Parameters!$B$7)/(60*Parameters!$B$6*Parameters!$B$9)))</f>
        <v>479.72919821411733</v>
      </c>
    </row>
    <row r="26" spans="1:21" x14ac:dyDescent="0.25">
      <c r="A26" s="17">
        <v>22</v>
      </c>
      <c r="B26" s="24">
        <f>B25+Route!$I$24+Route!$I$26+N25</f>
        <v>7960</v>
      </c>
      <c r="C26" s="24">
        <f>MIN(Parameters!$B$18,LN(1+B26*Parameters!$B$19/Parameters!$B$14)/LN(1+Parameters!$B$19))</f>
        <v>100</v>
      </c>
      <c r="D26" s="25">
        <f>Parameters!$B$20</f>
        <v>1.6</v>
      </c>
      <c r="E26" s="26">
        <f>D26*(1+Parameters!$B$17)^C26</f>
        <v>4.3277021270744465</v>
      </c>
      <c r="F26" s="24">
        <f>MIN(Parameters!$B$29,Parameters!$B$30/(E26/(IF(Parameters!$B$28="well",Parameters!$B$26,Parameters!$B$25))*(IF(Parameters!$B$28="well",Parameters!$B$23,Parameters!$B$21))))</f>
        <v>0.23106950770569928</v>
      </c>
      <c r="G26" s="24">
        <f>Parameters!$B$5+O26*H26</f>
        <v>579.72919821411733</v>
      </c>
      <c r="H26" s="24">
        <f t="shared" si="0"/>
        <v>479.72919821411733</v>
      </c>
      <c r="I26" s="24">
        <f>Route!$G$24/E26+F26*H26</f>
        <v>197.50185505302318</v>
      </c>
      <c r="J26" s="24">
        <f t="shared" si="1"/>
        <v>282.22734316109415</v>
      </c>
      <c r="K26" s="24">
        <f>MIN(Route!$G$25,K25+MIN(J26*E26,Route!$G$28+Route!$G$25-Route!$G$27))</f>
        <v>1785</v>
      </c>
      <c r="L26" s="23">
        <f>K26/Route!$G$25</f>
        <v>1</v>
      </c>
      <c r="M26" s="18" t="str">
        <f>IF(J26&lt;=0,"STUCK - overhead exceeds the run",IF(AND(K26&gt;=Route!$G$25,A26&gt;=Route!$G$29,OR(K25&lt;Route!$G$25,A25&lt;Route!$G$29)),"LAB OPENS",IF(AND(K26&gt;=Route!$G$25,A26&gt;Route!$G$29),"(lab already open)",IF(J26&lt;Parameters!$B$37,"dead run","ok"))))</f>
        <v>(lab already open)</v>
      </c>
      <c r="N26" s="3">
        <f>Route!$I$25*MAX(0,K26-K25)/Route!$G$25</f>
        <v>0</v>
      </c>
      <c r="O26" s="3">
        <f>MIN(Parameters!$B$30,Parameters!$B$29*E26/(IF(Parameters!$B$28="well",Parameters!$B$26,Parameters!$B$25))*(IF(Parameters!$B$28="well",Parameters!$B$23,Parameters!$B$21)))</f>
        <v>1</v>
      </c>
      <c r="P26" s="3">
        <f>(60/LN(1+Parameters!$B$7))*LN(1+Parameters!$B$5*(LN(1+Parameters!$B$7)/(60*Parameters!$B$6*Parameters!$B$9)))</f>
        <v>167.57089697704743</v>
      </c>
      <c r="Q26" s="3">
        <f>(60/LN(1+Parameters!$B$7))*LN(1+(Parameters!$B$5+O26*P26)*(LN(1+Parameters!$B$7)/(60*Parameters!$B$6*Parameters!$B$9)))</f>
        <v>322.1837617435458</v>
      </c>
      <c r="R26" s="3">
        <f>(60/LN(1+Parameters!$B$7))*LN(1+(Parameters!$B$5+O26*Q26)*(LN(1+Parameters!$B$7)/(60*Parameters!$B$6*Parameters!$B$9)))</f>
        <v>413.32508306682865</v>
      </c>
      <c r="S26" s="3">
        <f>(60/LN(1+Parameters!$B$7))*LN(1+(Parameters!$B$5+O26*R26)*(LN(1+Parameters!$B$7)/(60*Parameters!$B$6*Parameters!$B$9)))</f>
        <v>455.41907134283667</v>
      </c>
      <c r="T26" s="3">
        <f>(60/LN(1+Parameters!$B$7))*LN(1+(Parameters!$B$5+O26*S26)*(LN(1+Parameters!$B$7)/(60*Parameters!$B$6*Parameters!$B$9)))</f>
        <v>472.83835730077152</v>
      </c>
      <c r="U26" s="3">
        <f>(60/LN(1+Parameters!$B$7))*LN(1+(Parameters!$B$5+O26*T26)*(LN(1+Parameters!$B$7)/(60*Parameters!$B$6*Parameters!$B$9)))</f>
        <v>479.72919821411733</v>
      </c>
    </row>
    <row r="27" spans="1:21" x14ac:dyDescent="0.25">
      <c r="A27" s="17">
        <v>23</v>
      </c>
      <c r="B27" s="24">
        <f>B26+Route!$I$24+Route!$I$26+N26</f>
        <v>8257</v>
      </c>
      <c r="C27" s="24">
        <f>MIN(Parameters!$B$18,LN(1+B27*Parameters!$B$19/Parameters!$B$14)/LN(1+Parameters!$B$19))</f>
        <v>100</v>
      </c>
      <c r="D27" s="25">
        <f>Parameters!$B$20</f>
        <v>1.6</v>
      </c>
      <c r="E27" s="26">
        <f>D27*(1+Parameters!$B$17)^C27</f>
        <v>4.3277021270744465</v>
      </c>
      <c r="F27" s="24">
        <f>MIN(Parameters!$B$29,Parameters!$B$30/(E27/(IF(Parameters!$B$28="well",Parameters!$B$26,Parameters!$B$25))*(IF(Parameters!$B$28="well",Parameters!$B$23,Parameters!$B$21))))</f>
        <v>0.23106950770569928</v>
      </c>
      <c r="G27" s="24">
        <f>Parameters!$B$5+O27*H27</f>
        <v>579.72919821411733</v>
      </c>
      <c r="H27" s="24">
        <f t="shared" si="0"/>
        <v>479.72919821411733</v>
      </c>
      <c r="I27" s="24">
        <f>Route!$G$24/E27+F27*H27</f>
        <v>197.50185505302318</v>
      </c>
      <c r="J27" s="24">
        <f t="shared" si="1"/>
        <v>282.22734316109415</v>
      </c>
      <c r="K27" s="24">
        <f>MIN(Route!$G$25,K26+MIN(J27*E27,Route!$G$28+Route!$G$25-Route!$G$27))</f>
        <v>1785</v>
      </c>
      <c r="L27" s="23">
        <f>K27/Route!$G$25</f>
        <v>1</v>
      </c>
      <c r="M27" s="18" t="str">
        <f>IF(J27&lt;=0,"STUCK - overhead exceeds the run",IF(AND(K27&gt;=Route!$G$25,A27&gt;=Route!$G$29,OR(K26&lt;Route!$G$25,A26&lt;Route!$G$29)),"LAB OPENS",IF(AND(K27&gt;=Route!$G$25,A27&gt;Route!$G$29),"(lab already open)",IF(J27&lt;Parameters!$B$37,"dead run","ok"))))</f>
        <v>(lab already open)</v>
      </c>
      <c r="N27" s="3">
        <f>Route!$I$25*MAX(0,K27-K26)/Route!$G$25</f>
        <v>0</v>
      </c>
      <c r="O27" s="3">
        <f>MIN(Parameters!$B$30,Parameters!$B$29*E27/(IF(Parameters!$B$28="well",Parameters!$B$26,Parameters!$B$25))*(IF(Parameters!$B$28="well",Parameters!$B$23,Parameters!$B$21)))</f>
        <v>1</v>
      </c>
      <c r="P27" s="3">
        <f>(60/LN(1+Parameters!$B$7))*LN(1+Parameters!$B$5*(LN(1+Parameters!$B$7)/(60*Parameters!$B$6*Parameters!$B$9)))</f>
        <v>167.57089697704743</v>
      </c>
      <c r="Q27" s="3">
        <f>(60/LN(1+Parameters!$B$7))*LN(1+(Parameters!$B$5+O27*P27)*(LN(1+Parameters!$B$7)/(60*Parameters!$B$6*Parameters!$B$9)))</f>
        <v>322.1837617435458</v>
      </c>
      <c r="R27" s="3">
        <f>(60/LN(1+Parameters!$B$7))*LN(1+(Parameters!$B$5+O27*Q27)*(LN(1+Parameters!$B$7)/(60*Parameters!$B$6*Parameters!$B$9)))</f>
        <v>413.32508306682865</v>
      </c>
      <c r="S27" s="3">
        <f>(60/LN(1+Parameters!$B$7))*LN(1+(Parameters!$B$5+O27*R27)*(LN(1+Parameters!$B$7)/(60*Parameters!$B$6*Parameters!$B$9)))</f>
        <v>455.41907134283667</v>
      </c>
      <c r="T27" s="3">
        <f>(60/LN(1+Parameters!$B$7))*LN(1+(Parameters!$B$5+O27*S27)*(LN(1+Parameters!$B$7)/(60*Parameters!$B$6*Parameters!$B$9)))</f>
        <v>472.83835730077152</v>
      </c>
      <c r="U27" s="3">
        <f>(60/LN(1+Parameters!$B$7))*LN(1+(Parameters!$B$5+O27*T27)*(LN(1+Parameters!$B$7)/(60*Parameters!$B$6*Parameters!$B$9)))</f>
        <v>479.72919821411733</v>
      </c>
    </row>
    <row r="28" spans="1:21" x14ac:dyDescent="0.25">
      <c r="A28" s="17">
        <v>24</v>
      </c>
      <c r="B28" s="24">
        <f>B27+Route!$I$24+Route!$I$26+N27</f>
        <v>8554</v>
      </c>
      <c r="C28" s="24">
        <f>MIN(Parameters!$B$18,LN(1+B28*Parameters!$B$19/Parameters!$B$14)/LN(1+Parameters!$B$19))</f>
        <v>100</v>
      </c>
      <c r="D28" s="25">
        <f>Parameters!$B$20</f>
        <v>1.6</v>
      </c>
      <c r="E28" s="26">
        <f>D28*(1+Parameters!$B$17)^C28</f>
        <v>4.3277021270744465</v>
      </c>
      <c r="F28" s="24">
        <f>MIN(Parameters!$B$29,Parameters!$B$30/(E28/(IF(Parameters!$B$28="well",Parameters!$B$26,Parameters!$B$25))*(IF(Parameters!$B$28="well",Parameters!$B$23,Parameters!$B$21))))</f>
        <v>0.23106950770569928</v>
      </c>
      <c r="G28" s="24">
        <f>Parameters!$B$5+O28*H28</f>
        <v>579.72919821411733</v>
      </c>
      <c r="H28" s="24">
        <f t="shared" si="0"/>
        <v>479.72919821411733</v>
      </c>
      <c r="I28" s="24">
        <f>Route!$G$24/E28+F28*H28</f>
        <v>197.50185505302318</v>
      </c>
      <c r="J28" s="24">
        <f t="shared" si="1"/>
        <v>282.22734316109415</v>
      </c>
      <c r="K28" s="24">
        <f>MIN(Route!$G$25,K27+MIN(J28*E28,Route!$G$28+Route!$G$25-Route!$G$27))</f>
        <v>1785</v>
      </c>
      <c r="L28" s="23">
        <f>K28/Route!$G$25</f>
        <v>1</v>
      </c>
      <c r="M28" s="18" t="str">
        <f>IF(J28&lt;=0,"STUCK - overhead exceeds the run",IF(AND(K28&gt;=Route!$G$25,A28&gt;=Route!$G$29,OR(K27&lt;Route!$G$25,A27&lt;Route!$G$29)),"LAB OPENS",IF(AND(K28&gt;=Route!$G$25,A28&gt;Route!$G$29),"(lab already open)",IF(J28&lt;Parameters!$B$37,"dead run","ok"))))</f>
        <v>(lab already open)</v>
      </c>
      <c r="N28" s="3">
        <f>Route!$I$25*MAX(0,K28-K27)/Route!$G$25</f>
        <v>0</v>
      </c>
      <c r="O28" s="3">
        <f>MIN(Parameters!$B$30,Parameters!$B$29*E28/(IF(Parameters!$B$28="well",Parameters!$B$26,Parameters!$B$25))*(IF(Parameters!$B$28="well",Parameters!$B$23,Parameters!$B$21)))</f>
        <v>1</v>
      </c>
      <c r="P28" s="3">
        <f>(60/LN(1+Parameters!$B$7))*LN(1+Parameters!$B$5*(LN(1+Parameters!$B$7)/(60*Parameters!$B$6*Parameters!$B$9)))</f>
        <v>167.57089697704743</v>
      </c>
      <c r="Q28" s="3">
        <f>(60/LN(1+Parameters!$B$7))*LN(1+(Parameters!$B$5+O28*P28)*(LN(1+Parameters!$B$7)/(60*Parameters!$B$6*Parameters!$B$9)))</f>
        <v>322.1837617435458</v>
      </c>
      <c r="R28" s="3">
        <f>(60/LN(1+Parameters!$B$7))*LN(1+(Parameters!$B$5+O28*Q28)*(LN(1+Parameters!$B$7)/(60*Parameters!$B$6*Parameters!$B$9)))</f>
        <v>413.32508306682865</v>
      </c>
      <c r="S28" s="3">
        <f>(60/LN(1+Parameters!$B$7))*LN(1+(Parameters!$B$5+O28*R28)*(LN(1+Parameters!$B$7)/(60*Parameters!$B$6*Parameters!$B$9)))</f>
        <v>455.41907134283667</v>
      </c>
      <c r="T28" s="3">
        <f>(60/LN(1+Parameters!$B$7))*LN(1+(Parameters!$B$5+O28*S28)*(LN(1+Parameters!$B$7)/(60*Parameters!$B$6*Parameters!$B$9)))</f>
        <v>472.83835730077152</v>
      </c>
      <c r="U28" s="3">
        <f>(60/LN(1+Parameters!$B$7))*LN(1+(Parameters!$B$5+O28*T28)*(LN(1+Parameters!$B$7)/(60*Parameters!$B$6*Parameters!$B$9)))</f>
        <v>479.72919821411733</v>
      </c>
    </row>
    <row r="29" spans="1:21" x14ac:dyDescent="0.25">
      <c r="A29" s="17">
        <v>25</v>
      </c>
      <c r="B29" s="24">
        <f>B28+Route!$I$24+Route!$I$26+N28</f>
        <v>8851</v>
      </c>
      <c r="C29" s="24">
        <f>MIN(Parameters!$B$18,LN(1+B29*Parameters!$B$19/Parameters!$B$14)/LN(1+Parameters!$B$19))</f>
        <v>100</v>
      </c>
      <c r="D29" s="25">
        <f>Parameters!$B$20</f>
        <v>1.6</v>
      </c>
      <c r="E29" s="26">
        <f>D29*(1+Parameters!$B$17)^C29</f>
        <v>4.3277021270744465</v>
      </c>
      <c r="F29" s="24">
        <f>MIN(Parameters!$B$29,Parameters!$B$30/(E29/(IF(Parameters!$B$28="well",Parameters!$B$26,Parameters!$B$25))*(IF(Parameters!$B$28="well",Parameters!$B$23,Parameters!$B$21))))</f>
        <v>0.23106950770569928</v>
      </c>
      <c r="G29" s="24">
        <f>Parameters!$B$5+O29*H29</f>
        <v>579.72919821411733</v>
      </c>
      <c r="H29" s="24">
        <f t="shared" si="0"/>
        <v>479.72919821411733</v>
      </c>
      <c r="I29" s="24">
        <f>Route!$G$24/E29+F29*H29</f>
        <v>197.50185505302318</v>
      </c>
      <c r="J29" s="24">
        <f t="shared" si="1"/>
        <v>282.22734316109415</v>
      </c>
      <c r="K29" s="24">
        <f>MIN(Route!$G$25,K28+MIN(J29*E29,Route!$G$28+Route!$G$25-Route!$G$27))</f>
        <v>1785</v>
      </c>
      <c r="L29" s="23">
        <f>K29/Route!$G$25</f>
        <v>1</v>
      </c>
      <c r="M29" s="18" t="str">
        <f>IF(J29&lt;=0,"STUCK - overhead exceeds the run",IF(AND(K29&gt;=Route!$G$25,A29&gt;=Route!$G$29,OR(K28&lt;Route!$G$25,A28&lt;Route!$G$29)),"LAB OPENS",IF(AND(K29&gt;=Route!$G$25,A29&gt;Route!$G$29),"(lab already open)",IF(J29&lt;Parameters!$B$37,"dead run","ok"))))</f>
        <v>(lab already open)</v>
      </c>
      <c r="N29" s="3">
        <f>Route!$I$25*MAX(0,K29-K28)/Route!$G$25</f>
        <v>0</v>
      </c>
      <c r="O29" s="3">
        <f>MIN(Parameters!$B$30,Parameters!$B$29*E29/(IF(Parameters!$B$28="well",Parameters!$B$26,Parameters!$B$25))*(IF(Parameters!$B$28="well",Parameters!$B$23,Parameters!$B$21)))</f>
        <v>1</v>
      </c>
      <c r="P29" s="3">
        <f>(60/LN(1+Parameters!$B$7))*LN(1+Parameters!$B$5*(LN(1+Parameters!$B$7)/(60*Parameters!$B$6*Parameters!$B$9)))</f>
        <v>167.57089697704743</v>
      </c>
      <c r="Q29" s="3">
        <f>(60/LN(1+Parameters!$B$7))*LN(1+(Parameters!$B$5+O29*P29)*(LN(1+Parameters!$B$7)/(60*Parameters!$B$6*Parameters!$B$9)))</f>
        <v>322.1837617435458</v>
      </c>
      <c r="R29" s="3">
        <f>(60/LN(1+Parameters!$B$7))*LN(1+(Parameters!$B$5+O29*Q29)*(LN(1+Parameters!$B$7)/(60*Parameters!$B$6*Parameters!$B$9)))</f>
        <v>413.32508306682865</v>
      </c>
      <c r="S29" s="3">
        <f>(60/LN(1+Parameters!$B$7))*LN(1+(Parameters!$B$5+O29*R29)*(LN(1+Parameters!$B$7)/(60*Parameters!$B$6*Parameters!$B$9)))</f>
        <v>455.41907134283667</v>
      </c>
      <c r="T29" s="3">
        <f>(60/LN(1+Parameters!$B$7))*LN(1+(Parameters!$B$5+O29*S29)*(LN(1+Parameters!$B$7)/(60*Parameters!$B$6*Parameters!$B$9)))</f>
        <v>472.83835730077152</v>
      </c>
      <c r="U29" s="3">
        <f>(60/LN(1+Parameters!$B$7))*LN(1+(Parameters!$B$5+O29*T29)*(LN(1+Parameters!$B$7)/(60*Parameters!$B$6*Parameters!$B$9)))</f>
        <v>479.72919821411733</v>
      </c>
    </row>
    <row r="30" spans="1:21" x14ac:dyDescent="0.25">
      <c r="A30" s="17">
        <v>26</v>
      </c>
      <c r="B30" s="24">
        <f>B29+Route!$I$24+Route!$I$26+N29</f>
        <v>9148</v>
      </c>
      <c r="C30" s="24">
        <f>MIN(Parameters!$B$18,LN(1+B30*Parameters!$B$19/Parameters!$B$14)/LN(1+Parameters!$B$19))</f>
        <v>100</v>
      </c>
      <c r="D30" s="25">
        <f>Parameters!$B$20</f>
        <v>1.6</v>
      </c>
      <c r="E30" s="26">
        <f>D30*(1+Parameters!$B$17)^C30</f>
        <v>4.3277021270744465</v>
      </c>
      <c r="F30" s="24">
        <f>MIN(Parameters!$B$29,Parameters!$B$30/(E30/(IF(Parameters!$B$28="well",Parameters!$B$26,Parameters!$B$25))*(IF(Parameters!$B$28="well",Parameters!$B$23,Parameters!$B$21))))</f>
        <v>0.23106950770569928</v>
      </c>
      <c r="G30" s="24">
        <f>Parameters!$B$5+O30*H30</f>
        <v>579.72919821411733</v>
      </c>
      <c r="H30" s="24">
        <f t="shared" si="0"/>
        <v>479.72919821411733</v>
      </c>
      <c r="I30" s="24">
        <f>Route!$G$24/E30+F30*H30</f>
        <v>197.50185505302318</v>
      </c>
      <c r="J30" s="24">
        <f t="shared" si="1"/>
        <v>282.22734316109415</v>
      </c>
      <c r="K30" s="24">
        <f>MIN(Route!$G$25,K29+MIN(J30*E30,Route!$G$28+Route!$G$25-Route!$G$27))</f>
        <v>1785</v>
      </c>
      <c r="L30" s="23">
        <f>K30/Route!$G$25</f>
        <v>1</v>
      </c>
      <c r="M30" s="18" t="str">
        <f>IF(J30&lt;=0,"STUCK - overhead exceeds the run",IF(AND(K30&gt;=Route!$G$25,A30&gt;=Route!$G$29,OR(K29&lt;Route!$G$25,A29&lt;Route!$G$29)),"LAB OPENS",IF(AND(K30&gt;=Route!$G$25,A30&gt;Route!$G$29),"(lab already open)",IF(J30&lt;Parameters!$B$37,"dead run","ok"))))</f>
        <v>(lab already open)</v>
      </c>
      <c r="N30" s="3">
        <f>Route!$I$25*MAX(0,K30-K29)/Route!$G$25</f>
        <v>0</v>
      </c>
      <c r="O30" s="3">
        <f>MIN(Parameters!$B$30,Parameters!$B$29*E30/(IF(Parameters!$B$28="well",Parameters!$B$26,Parameters!$B$25))*(IF(Parameters!$B$28="well",Parameters!$B$23,Parameters!$B$21)))</f>
        <v>1</v>
      </c>
      <c r="P30" s="3">
        <f>(60/LN(1+Parameters!$B$7))*LN(1+Parameters!$B$5*(LN(1+Parameters!$B$7)/(60*Parameters!$B$6*Parameters!$B$9)))</f>
        <v>167.57089697704743</v>
      </c>
      <c r="Q30" s="3">
        <f>(60/LN(1+Parameters!$B$7))*LN(1+(Parameters!$B$5+O30*P30)*(LN(1+Parameters!$B$7)/(60*Parameters!$B$6*Parameters!$B$9)))</f>
        <v>322.1837617435458</v>
      </c>
      <c r="R30" s="3">
        <f>(60/LN(1+Parameters!$B$7))*LN(1+(Parameters!$B$5+O30*Q30)*(LN(1+Parameters!$B$7)/(60*Parameters!$B$6*Parameters!$B$9)))</f>
        <v>413.32508306682865</v>
      </c>
      <c r="S30" s="3">
        <f>(60/LN(1+Parameters!$B$7))*LN(1+(Parameters!$B$5+O30*R30)*(LN(1+Parameters!$B$7)/(60*Parameters!$B$6*Parameters!$B$9)))</f>
        <v>455.41907134283667</v>
      </c>
      <c r="T30" s="3">
        <f>(60/LN(1+Parameters!$B$7))*LN(1+(Parameters!$B$5+O30*S30)*(LN(1+Parameters!$B$7)/(60*Parameters!$B$6*Parameters!$B$9)))</f>
        <v>472.83835730077152</v>
      </c>
      <c r="U30" s="3">
        <f>(60/LN(1+Parameters!$B$7))*LN(1+(Parameters!$B$5+O30*T30)*(LN(1+Parameters!$B$7)/(60*Parameters!$B$6*Parameters!$B$9)))</f>
        <v>479.72919821411733</v>
      </c>
    </row>
    <row r="31" spans="1:21" x14ac:dyDescent="0.25">
      <c r="A31" s="17">
        <v>27</v>
      </c>
      <c r="B31" s="24">
        <f>B30+Route!$I$24+Route!$I$26+N30</f>
        <v>9445</v>
      </c>
      <c r="C31" s="24">
        <f>MIN(Parameters!$B$18,LN(1+B31*Parameters!$B$19/Parameters!$B$14)/LN(1+Parameters!$B$19))</f>
        <v>100</v>
      </c>
      <c r="D31" s="25">
        <f>Parameters!$B$20</f>
        <v>1.6</v>
      </c>
      <c r="E31" s="26">
        <f>D31*(1+Parameters!$B$17)^C31</f>
        <v>4.3277021270744465</v>
      </c>
      <c r="F31" s="24">
        <f>MIN(Parameters!$B$29,Parameters!$B$30/(E31/(IF(Parameters!$B$28="well",Parameters!$B$26,Parameters!$B$25))*(IF(Parameters!$B$28="well",Parameters!$B$23,Parameters!$B$21))))</f>
        <v>0.23106950770569928</v>
      </c>
      <c r="G31" s="24">
        <f>Parameters!$B$5+O31*H31</f>
        <v>579.72919821411733</v>
      </c>
      <c r="H31" s="24">
        <f t="shared" si="0"/>
        <v>479.72919821411733</v>
      </c>
      <c r="I31" s="24">
        <f>Route!$G$24/E31+F31*H31</f>
        <v>197.50185505302318</v>
      </c>
      <c r="J31" s="24">
        <f t="shared" si="1"/>
        <v>282.22734316109415</v>
      </c>
      <c r="K31" s="24">
        <f>MIN(Route!$G$25,K30+MIN(J31*E31,Route!$G$28+Route!$G$25-Route!$G$27))</f>
        <v>1785</v>
      </c>
      <c r="L31" s="23">
        <f>K31/Route!$G$25</f>
        <v>1</v>
      </c>
      <c r="M31" s="18" t="str">
        <f>IF(J31&lt;=0,"STUCK - overhead exceeds the run",IF(AND(K31&gt;=Route!$G$25,A31&gt;=Route!$G$29,OR(K30&lt;Route!$G$25,A30&lt;Route!$G$29)),"LAB OPENS",IF(AND(K31&gt;=Route!$G$25,A31&gt;Route!$G$29),"(lab already open)",IF(J31&lt;Parameters!$B$37,"dead run","ok"))))</f>
        <v>(lab already open)</v>
      </c>
      <c r="N31" s="3">
        <f>Route!$I$25*MAX(0,K31-K30)/Route!$G$25</f>
        <v>0</v>
      </c>
      <c r="O31" s="3">
        <f>MIN(Parameters!$B$30,Parameters!$B$29*E31/(IF(Parameters!$B$28="well",Parameters!$B$26,Parameters!$B$25))*(IF(Parameters!$B$28="well",Parameters!$B$23,Parameters!$B$21)))</f>
        <v>1</v>
      </c>
      <c r="P31" s="3">
        <f>(60/LN(1+Parameters!$B$7))*LN(1+Parameters!$B$5*(LN(1+Parameters!$B$7)/(60*Parameters!$B$6*Parameters!$B$9)))</f>
        <v>167.57089697704743</v>
      </c>
      <c r="Q31" s="3">
        <f>(60/LN(1+Parameters!$B$7))*LN(1+(Parameters!$B$5+O31*P31)*(LN(1+Parameters!$B$7)/(60*Parameters!$B$6*Parameters!$B$9)))</f>
        <v>322.1837617435458</v>
      </c>
      <c r="R31" s="3">
        <f>(60/LN(1+Parameters!$B$7))*LN(1+(Parameters!$B$5+O31*Q31)*(LN(1+Parameters!$B$7)/(60*Parameters!$B$6*Parameters!$B$9)))</f>
        <v>413.32508306682865</v>
      </c>
      <c r="S31" s="3">
        <f>(60/LN(1+Parameters!$B$7))*LN(1+(Parameters!$B$5+O31*R31)*(LN(1+Parameters!$B$7)/(60*Parameters!$B$6*Parameters!$B$9)))</f>
        <v>455.41907134283667</v>
      </c>
      <c r="T31" s="3">
        <f>(60/LN(1+Parameters!$B$7))*LN(1+(Parameters!$B$5+O31*S31)*(LN(1+Parameters!$B$7)/(60*Parameters!$B$6*Parameters!$B$9)))</f>
        <v>472.83835730077152</v>
      </c>
      <c r="U31" s="3">
        <f>(60/LN(1+Parameters!$B$7))*LN(1+(Parameters!$B$5+O31*T31)*(LN(1+Parameters!$B$7)/(60*Parameters!$B$6*Parameters!$B$9)))</f>
        <v>479.72919821411733</v>
      </c>
    </row>
    <row r="32" spans="1:21" x14ac:dyDescent="0.25">
      <c r="A32" s="17">
        <v>28</v>
      </c>
      <c r="B32" s="24">
        <f>B31+Route!$I$24+Route!$I$26+N31</f>
        <v>9742</v>
      </c>
      <c r="C32" s="24">
        <f>MIN(Parameters!$B$18,LN(1+B32*Parameters!$B$19/Parameters!$B$14)/LN(1+Parameters!$B$19))</f>
        <v>100</v>
      </c>
      <c r="D32" s="25">
        <f>Parameters!$B$20</f>
        <v>1.6</v>
      </c>
      <c r="E32" s="26">
        <f>D32*(1+Parameters!$B$17)^C32</f>
        <v>4.3277021270744465</v>
      </c>
      <c r="F32" s="24">
        <f>MIN(Parameters!$B$29,Parameters!$B$30/(E32/(IF(Parameters!$B$28="well",Parameters!$B$26,Parameters!$B$25))*(IF(Parameters!$B$28="well",Parameters!$B$23,Parameters!$B$21))))</f>
        <v>0.23106950770569928</v>
      </c>
      <c r="G32" s="24">
        <f>Parameters!$B$5+O32*H32</f>
        <v>579.72919821411733</v>
      </c>
      <c r="H32" s="24">
        <f t="shared" si="0"/>
        <v>479.72919821411733</v>
      </c>
      <c r="I32" s="24">
        <f>Route!$G$24/E32+F32*H32</f>
        <v>197.50185505302318</v>
      </c>
      <c r="J32" s="24">
        <f t="shared" si="1"/>
        <v>282.22734316109415</v>
      </c>
      <c r="K32" s="24">
        <f>MIN(Route!$G$25,K31+MIN(J32*E32,Route!$G$28+Route!$G$25-Route!$G$27))</f>
        <v>1785</v>
      </c>
      <c r="L32" s="23">
        <f>K32/Route!$G$25</f>
        <v>1</v>
      </c>
      <c r="M32" s="18" t="str">
        <f>IF(J32&lt;=0,"STUCK - overhead exceeds the run",IF(AND(K32&gt;=Route!$G$25,A32&gt;=Route!$G$29,OR(K31&lt;Route!$G$25,A31&lt;Route!$G$29)),"LAB OPENS",IF(AND(K32&gt;=Route!$G$25,A32&gt;Route!$G$29),"(lab already open)",IF(J32&lt;Parameters!$B$37,"dead run","ok"))))</f>
        <v>(lab already open)</v>
      </c>
      <c r="N32" s="3">
        <f>Route!$I$25*MAX(0,K32-K31)/Route!$G$25</f>
        <v>0</v>
      </c>
      <c r="O32" s="3">
        <f>MIN(Parameters!$B$30,Parameters!$B$29*E32/(IF(Parameters!$B$28="well",Parameters!$B$26,Parameters!$B$25))*(IF(Parameters!$B$28="well",Parameters!$B$23,Parameters!$B$21)))</f>
        <v>1</v>
      </c>
      <c r="P32" s="3">
        <f>(60/LN(1+Parameters!$B$7))*LN(1+Parameters!$B$5*(LN(1+Parameters!$B$7)/(60*Parameters!$B$6*Parameters!$B$9)))</f>
        <v>167.57089697704743</v>
      </c>
      <c r="Q32" s="3">
        <f>(60/LN(1+Parameters!$B$7))*LN(1+(Parameters!$B$5+O32*P32)*(LN(1+Parameters!$B$7)/(60*Parameters!$B$6*Parameters!$B$9)))</f>
        <v>322.1837617435458</v>
      </c>
      <c r="R32" s="3">
        <f>(60/LN(1+Parameters!$B$7))*LN(1+(Parameters!$B$5+O32*Q32)*(LN(1+Parameters!$B$7)/(60*Parameters!$B$6*Parameters!$B$9)))</f>
        <v>413.32508306682865</v>
      </c>
      <c r="S32" s="3">
        <f>(60/LN(1+Parameters!$B$7))*LN(1+(Parameters!$B$5+O32*R32)*(LN(1+Parameters!$B$7)/(60*Parameters!$B$6*Parameters!$B$9)))</f>
        <v>455.41907134283667</v>
      </c>
      <c r="T32" s="3">
        <f>(60/LN(1+Parameters!$B$7))*LN(1+(Parameters!$B$5+O32*S32)*(LN(1+Parameters!$B$7)/(60*Parameters!$B$6*Parameters!$B$9)))</f>
        <v>472.83835730077152</v>
      </c>
      <c r="U32" s="3">
        <f>(60/LN(1+Parameters!$B$7))*LN(1+(Parameters!$B$5+O32*T32)*(LN(1+Parameters!$B$7)/(60*Parameters!$B$6*Parameters!$B$9)))</f>
        <v>479.72919821411733</v>
      </c>
    </row>
    <row r="33" spans="1:21" x14ac:dyDescent="0.25">
      <c r="A33" s="17">
        <v>29</v>
      </c>
      <c r="B33" s="24">
        <f>B32+Route!$I$24+Route!$I$26+N32</f>
        <v>10039</v>
      </c>
      <c r="C33" s="24">
        <f>MIN(Parameters!$B$18,LN(1+B33*Parameters!$B$19/Parameters!$B$14)/LN(1+Parameters!$B$19))</f>
        <v>100</v>
      </c>
      <c r="D33" s="25">
        <f>Parameters!$B$20</f>
        <v>1.6</v>
      </c>
      <c r="E33" s="26">
        <f>D33*(1+Parameters!$B$17)^C33</f>
        <v>4.3277021270744465</v>
      </c>
      <c r="F33" s="24">
        <f>MIN(Parameters!$B$29,Parameters!$B$30/(E33/(IF(Parameters!$B$28="well",Parameters!$B$26,Parameters!$B$25))*(IF(Parameters!$B$28="well",Parameters!$B$23,Parameters!$B$21))))</f>
        <v>0.23106950770569928</v>
      </c>
      <c r="G33" s="24">
        <f>Parameters!$B$5+O33*H33</f>
        <v>579.72919821411733</v>
      </c>
      <c r="H33" s="24">
        <f t="shared" si="0"/>
        <v>479.72919821411733</v>
      </c>
      <c r="I33" s="24">
        <f>Route!$G$24/E33+F33*H33</f>
        <v>197.50185505302318</v>
      </c>
      <c r="J33" s="24">
        <f t="shared" si="1"/>
        <v>282.22734316109415</v>
      </c>
      <c r="K33" s="24">
        <f>MIN(Route!$G$25,K32+MIN(J33*E33,Route!$G$28+Route!$G$25-Route!$G$27))</f>
        <v>1785</v>
      </c>
      <c r="L33" s="23">
        <f>K33/Route!$G$25</f>
        <v>1</v>
      </c>
      <c r="M33" s="18" t="str">
        <f>IF(J33&lt;=0,"STUCK - overhead exceeds the run",IF(AND(K33&gt;=Route!$G$25,A33&gt;=Route!$G$29,OR(K32&lt;Route!$G$25,A32&lt;Route!$G$29)),"LAB OPENS",IF(AND(K33&gt;=Route!$G$25,A33&gt;Route!$G$29),"(lab already open)",IF(J33&lt;Parameters!$B$37,"dead run","ok"))))</f>
        <v>(lab already open)</v>
      </c>
      <c r="N33" s="3">
        <f>Route!$I$25*MAX(0,K33-K32)/Route!$G$25</f>
        <v>0</v>
      </c>
      <c r="O33" s="3">
        <f>MIN(Parameters!$B$30,Parameters!$B$29*E33/(IF(Parameters!$B$28="well",Parameters!$B$26,Parameters!$B$25))*(IF(Parameters!$B$28="well",Parameters!$B$23,Parameters!$B$21)))</f>
        <v>1</v>
      </c>
      <c r="P33" s="3">
        <f>(60/LN(1+Parameters!$B$7))*LN(1+Parameters!$B$5*(LN(1+Parameters!$B$7)/(60*Parameters!$B$6*Parameters!$B$9)))</f>
        <v>167.57089697704743</v>
      </c>
      <c r="Q33" s="3">
        <f>(60/LN(1+Parameters!$B$7))*LN(1+(Parameters!$B$5+O33*P33)*(LN(1+Parameters!$B$7)/(60*Parameters!$B$6*Parameters!$B$9)))</f>
        <v>322.1837617435458</v>
      </c>
      <c r="R33" s="3">
        <f>(60/LN(1+Parameters!$B$7))*LN(1+(Parameters!$B$5+O33*Q33)*(LN(1+Parameters!$B$7)/(60*Parameters!$B$6*Parameters!$B$9)))</f>
        <v>413.32508306682865</v>
      </c>
      <c r="S33" s="3">
        <f>(60/LN(1+Parameters!$B$7))*LN(1+(Parameters!$B$5+O33*R33)*(LN(1+Parameters!$B$7)/(60*Parameters!$B$6*Parameters!$B$9)))</f>
        <v>455.41907134283667</v>
      </c>
      <c r="T33" s="3">
        <f>(60/LN(1+Parameters!$B$7))*LN(1+(Parameters!$B$5+O33*S33)*(LN(1+Parameters!$B$7)/(60*Parameters!$B$6*Parameters!$B$9)))</f>
        <v>472.83835730077152</v>
      </c>
      <c r="U33" s="3">
        <f>(60/LN(1+Parameters!$B$7))*LN(1+(Parameters!$B$5+O33*T33)*(LN(1+Parameters!$B$7)/(60*Parameters!$B$6*Parameters!$B$9)))</f>
        <v>479.72919821411733</v>
      </c>
    </row>
    <row r="34" spans="1:21" x14ac:dyDescent="0.25">
      <c r="A34" s="17">
        <v>30</v>
      </c>
      <c r="B34" s="24">
        <f>B33+Route!$I$24+Route!$I$26+N33</f>
        <v>10336</v>
      </c>
      <c r="C34" s="24">
        <f>MIN(Parameters!$B$18,LN(1+B34*Parameters!$B$19/Parameters!$B$14)/LN(1+Parameters!$B$19))</f>
        <v>100</v>
      </c>
      <c r="D34" s="25">
        <f>Parameters!$B$20</f>
        <v>1.6</v>
      </c>
      <c r="E34" s="26">
        <f>D34*(1+Parameters!$B$17)^C34</f>
        <v>4.3277021270744465</v>
      </c>
      <c r="F34" s="24">
        <f>MIN(Parameters!$B$29,Parameters!$B$30/(E34/(IF(Parameters!$B$28="well",Parameters!$B$26,Parameters!$B$25))*(IF(Parameters!$B$28="well",Parameters!$B$23,Parameters!$B$21))))</f>
        <v>0.23106950770569928</v>
      </c>
      <c r="G34" s="24">
        <f>Parameters!$B$5+O34*H34</f>
        <v>579.72919821411733</v>
      </c>
      <c r="H34" s="24">
        <f t="shared" si="0"/>
        <v>479.72919821411733</v>
      </c>
      <c r="I34" s="24">
        <f>Route!$G$24/E34+F34*H34</f>
        <v>197.50185505302318</v>
      </c>
      <c r="J34" s="24">
        <f t="shared" si="1"/>
        <v>282.22734316109415</v>
      </c>
      <c r="K34" s="24">
        <f>MIN(Route!$G$25,K33+MIN(J34*E34,Route!$G$28+Route!$G$25-Route!$G$27))</f>
        <v>1785</v>
      </c>
      <c r="L34" s="23">
        <f>K34/Route!$G$25</f>
        <v>1</v>
      </c>
      <c r="M34" s="18" t="str">
        <f>IF(J34&lt;=0,"STUCK - overhead exceeds the run",IF(AND(K34&gt;=Route!$G$25,A34&gt;=Route!$G$29,OR(K33&lt;Route!$G$25,A33&lt;Route!$G$29)),"LAB OPENS",IF(AND(K34&gt;=Route!$G$25,A34&gt;Route!$G$29),"(lab already open)",IF(J34&lt;Parameters!$B$37,"dead run","ok"))))</f>
        <v>(lab already open)</v>
      </c>
      <c r="N34" s="3">
        <f>Route!$I$25*MAX(0,K34-K33)/Route!$G$25</f>
        <v>0</v>
      </c>
      <c r="O34" s="3">
        <f>MIN(Parameters!$B$30,Parameters!$B$29*E34/(IF(Parameters!$B$28="well",Parameters!$B$26,Parameters!$B$25))*(IF(Parameters!$B$28="well",Parameters!$B$23,Parameters!$B$21)))</f>
        <v>1</v>
      </c>
      <c r="P34" s="3">
        <f>(60/LN(1+Parameters!$B$7))*LN(1+Parameters!$B$5*(LN(1+Parameters!$B$7)/(60*Parameters!$B$6*Parameters!$B$9)))</f>
        <v>167.57089697704743</v>
      </c>
      <c r="Q34" s="3">
        <f>(60/LN(1+Parameters!$B$7))*LN(1+(Parameters!$B$5+O34*P34)*(LN(1+Parameters!$B$7)/(60*Parameters!$B$6*Parameters!$B$9)))</f>
        <v>322.1837617435458</v>
      </c>
      <c r="R34" s="3">
        <f>(60/LN(1+Parameters!$B$7))*LN(1+(Parameters!$B$5+O34*Q34)*(LN(1+Parameters!$B$7)/(60*Parameters!$B$6*Parameters!$B$9)))</f>
        <v>413.32508306682865</v>
      </c>
      <c r="S34" s="3">
        <f>(60/LN(1+Parameters!$B$7))*LN(1+(Parameters!$B$5+O34*R34)*(LN(1+Parameters!$B$7)/(60*Parameters!$B$6*Parameters!$B$9)))</f>
        <v>455.41907134283667</v>
      </c>
      <c r="T34" s="3">
        <f>(60/LN(1+Parameters!$B$7))*LN(1+(Parameters!$B$5+O34*S34)*(LN(1+Parameters!$B$7)/(60*Parameters!$B$6*Parameters!$B$9)))</f>
        <v>472.83835730077152</v>
      </c>
      <c r="U34" s="3">
        <f>(60/LN(1+Parameters!$B$7))*LN(1+(Parameters!$B$5+O34*T34)*(LN(1+Parameters!$B$7)/(60*Parameters!$B$6*Parameters!$B$9)))</f>
        <v>479.72919821411733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4"/>
  <sheetViews>
    <sheetView zoomScaleNormal="100" workbookViewId="0">
      <selection activeCell="D6" sqref="D6"/>
    </sheetView>
  </sheetViews>
  <sheetFormatPr defaultColWidth="8.7109375" defaultRowHeight="15" x14ac:dyDescent="0.25"/>
  <cols>
    <col min="1" max="1" width="5" customWidth="1"/>
    <col min="2" max="2" width="46" customWidth="1"/>
    <col min="3" max="3" width="12" customWidth="1"/>
    <col min="4" max="4" width="22" customWidth="1"/>
    <col min="5" max="5" width="11" customWidth="1"/>
  </cols>
  <sheetData>
    <row r="1" spans="1:5" ht="18" x14ac:dyDescent="0.25">
      <c r="A1" s="1" t="s">
        <v>161</v>
      </c>
    </row>
    <row r="2" spans="1:5" x14ac:dyDescent="0.25">
      <c r="A2" s="2" t="s">
        <v>162</v>
      </c>
    </row>
    <row r="4" spans="1:5" x14ac:dyDescent="0.25">
      <c r="A4" s="16" t="s">
        <v>163</v>
      </c>
      <c r="B4" s="16" t="s">
        <v>164</v>
      </c>
      <c r="C4" s="16" t="s">
        <v>165</v>
      </c>
      <c r="D4" s="16" t="s">
        <v>166</v>
      </c>
      <c r="E4" s="16" t="s">
        <v>167</v>
      </c>
    </row>
    <row r="5" spans="1:5" x14ac:dyDescent="0.25">
      <c r="A5" s="17">
        <v>1</v>
      </c>
      <c r="B5" s="17" t="s">
        <v>168</v>
      </c>
      <c r="C5" s="24">
        <f>COUNTIF('Run Progression'!M5:M34,"STUCK - overhead exceeds the run")</f>
        <v>0</v>
      </c>
      <c r="D5" s="17" t="s">
        <v>169</v>
      </c>
      <c r="E5" s="18" t="str">
        <f>IF(C5=0,"OK","CHECK")</f>
        <v>OK</v>
      </c>
    </row>
    <row r="6" spans="1:5" x14ac:dyDescent="0.25">
      <c r="A6" s="17">
        <v>2</v>
      </c>
      <c r="B6" s="17" t="s">
        <v>170</v>
      </c>
      <c r="C6" s="24">
        <f>IFERROR(MATCH("LAB OPENS",'Run Progression'!M5:M34,0),999)</f>
        <v>7</v>
      </c>
      <c r="D6" s="17">
        <f>Parameters!$B$34</f>
        <v>14</v>
      </c>
      <c r="E6" s="18" t="str">
        <f>IF(C6&lt;=Parameters!$B$34,"OK","CHECK")</f>
        <v>OK</v>
      </c>
    </row>
    <row r="7" spans="1:5" x14ac:dyDescent="0.25">
      <c r="A7" s="17">
        <v>3</v>
      </c>
      <c r="B7" s="17" t="s">
        <v>171</v>
      </c>
      <c r="C7" s="24">
        <f>COUNTIF('Run Progression'!M5:M34,"dead run")</f>
        <v>0</v>
      </c>
      <c r="D7" s="17" t="s">
        <v>169</v>
      </c>
      <c r="E7" s="18" t="str">
        <f>IF(C7=0,"OK","CHECK")</f>
        <v>OK</v>
      </c>
    </row>
    <row r="8" spans="1:5" x14ac:dyDescent="0.25">
      <c r="A8" s="17">
        <v>4</v>
      </c>
      <c r="B8" s="17" t="s">
        <v>172</v>
      </c>
      <c r="C8" s="24">
        <f>'Run Progression'!H5</f>
        <v>299.89650240109842</v>
      </c>
      <c r="D8" s="17">
        <f>Parameters!$B$35</f>
        <v>300</v>
      </c>
      <c r="E8" s="18" t="str">
        <f>IF(ABS(C8-Parameters!$B$35)&lt;=60,"OK","CHECK")</f>
        <v>OK</v>
      </c>
    </row>
    <row r="9" spans="1:5" x14ac:dyDescent="0.25">
      <c r="A9" s="17">
        <v>5</v>
      </c>
      <c r="B9" s="17" t="s">
        <v>173</v>
      </c>
      <c r="C9" s="24">
        <f>IFERROR(INDEX('Run Progression'!H5:H34,MATCH("LAB OPENS",'Run Progression'!M5:M34,0)),0)</f>
        <v>479.72919821411733</v>
      </c>
      <c r="D9" s="17" t="s">
        <v>174</v>
      </c>
      <c r="E9" s="18" t="str">
        <f>IF(AND(C9&gt;=Parameters!$B$35,C9&lt;=Parameters!$B$36),"OK","CHECK")</f>
        <v>OK</v>
      </c>
    </row>
    <row r="10" spans="1:5" x14ac:dyDescent="0.25">
      <c r="A10" s="17">
        <v>6</v>
      </c>
      <c r="B10" s="17" t="s">
        <v>175</v>
      </c>
      <c r="C10" s="24">
        <f>'Run Progression'!H34-'Run Progression'!H5</f>
        <v>179.83269581301892</v>
      </c>
      <c r="D10" s="17" t="s">
        <v>176</v>
      </c>
      <c r="E10" s="18" t="str">
        <f>IF(C10&gt;0,"OK","CHECK")</f>
        <v>OK</v>
      </c>
    </row>
    <row r="11" spans="1:5" x14ac:dyDescent="0.25">
      <c r="A11" s="17">
        <v>7</v>
      </c>
      <c r="B11" s="17" t="s">
        <v>177</v>
      </c>
      <c r="C11" s="23">
        <f>'Run Progression'!I5/'Run Progression'!H5</f>
        <v>0.93046984589742809</v>
      </c>
      <c r="D11" s="17" t="s">
        <v>178</v>
      </c>
      <c r="E11" s="18" t="str">
        <f>IF(C11&lt;0.7,"OK","CHECK")</f>
        <v>CHECK</v>
      </c>
    </row>
    <row r="12" spans="1:5" x14ac:dyDescent="0.25">
      <c r="A12" s="17">
        <v>8</v>
      </c>
      <c r="B12" s="17" t="s">
        <v>179</v>
      </c>
      <c r="C12" s="26">
        <f>'Run Progression'!E14</f>
        <v>4.3277021270744465</v>
      </c>
      <c r="D12" s="17" t="s">
        <v>180</v>
      </c>
      <c r="E12" s="18" t="str">
        <f>IF(C12&gt;=1.5,"OK","CHECK")</f>
        <v>OK</v>
      </c>
    </row>
    <row r="14" spans="1:5" x14ac:dyDescent="0.25">
      <c r="B14" s="4" t="s">
        <v>181</v>
      </c>
      <c r="C14" s="21">
        <f>COUNTIF(E5:E12,"CHECK")</f>
        <v>1</v>
      </c>
    </row>
    <row r="17" spans="2:2" x14ac:dyDescent="0.25">
      <c r="B17" s="5" t="s">
        <v>182</v>
      </c>
    </row>
    <row r="18" spans="2:2" x14ac:dyDescent="0.25">
      <c r="B18" s="3" t="s">
        <v>183</v>
      </c>
    </row>
    <row r="19" spans="2:2" x14ac:dyDescent="0.25">
      <c r="B19" s="3" t="s">
        <v>184</v>
      </c>
    </row>
    <row r="20" spans="2:2" x14ac:dyDescent="0.25">
      <c r="B20" s="3" t="s">
        <v>185</v>
      </c>
    </row>
    <row r="21" spans="2:2" x14ac:dyDescent="0.25">
      <c r="B21" s="3" t="s">
        <v>186</v>
      </c>
    </row>
    <row r="22" spans="2:2" x14ac:dyDescent="0.25">
      <c r="B22" s="3" t="s">
        <v>187</v>
      </c>
    </row>
    <row r="23" spans="2:2" x14ac:dyDescent="0.25">
      <c r="B23" s="3" t="s">
        <v>188</v>
      </c>
    </row>
    <row r="24" spans="2:2" x14ac:dyDescent="0.25">
      <c r="B24" s="3" t="s">
        <v>189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Parameters</vt:lpstr>
      <vt:lpstr>Route</vt:lpstr>
      <vt:lpstr>Run Progression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scott eskridge</cp:lastModifiedBy>
  <cp:revision>0</cp:revision>
  <dcterms:created xsi:type="dcterms:W3CDTF">2026-09-26T18:58:39Z</dcterms:created>
  <dcterms:modified xsi:type="dcterms:W3CDTF">2026-09-28T00:59:55Z</dcterms:modified>
  <dc:language>en-US</dc:language>
</cp:coreProperties>
</file>