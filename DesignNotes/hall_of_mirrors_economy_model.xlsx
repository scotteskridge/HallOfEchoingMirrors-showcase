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arameters" sheetId="2" state="visible" r:id="rId4"/>
    <sheet name="Build Comparison" sheetId="3" state="visible" r:id="rId5"/>
    <sheet name="Run Ledger" sheetId="4" state="visible" r:id="rId6"/>
    <sheet name="Health Chec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<sst xmlns="http://schemas.openxmlformats.org/spreadsheetml/2006/main" count="213" uniqueCount="159">
  <si>
    <t xml:space="preserve">The Hall of Echoing Mirrors - Economy Model</t>
  </si>
  <si>
    <t xml:space="preserve">Does the current design produce runs worth playing? v0.1, greybox.</t>
  </si>
  <si>
    <t xml:space="preserve">The question this answers</t>
  </si>
  <si>
    <t xml:space="preserve">A run that lasts 8 actions has no queue puzzle, however elegant the overflow rule is.</t>
  </si>
  <si>
    <t xml:space="preserve">A run that lasts 800 is a chore. This model finds where the numbers actually land.</t>
  </si>
  <si>
    <t xml:space="preserve">Sheets</t>
  </si>
  <si>
    <t xml:space="preserve">Parameters         Every tunable number. Blue cells are yours; everything else is a formula.</t>
  </si>
  <si>
    <t xml:space="preserve">Build Comparison   The four archetypes side by side: travel endurance and realm depth.</t>
  </si>
  <si>
    <t xml:space="preserve">Run Ledger         A step-by-step simulation. Edit the Action and Hue columns to test a route.</t>
  </si>
  <si>
    <t xml:space="preserve">Health Checks      Pass/fail on the design questions the model exists to answer.</t>
  </si>
  <si>
    <t xml:space="preserve">How to use it</t>
  </si>
  <si>
    <t xml:space="preserve">1. Open Health Checks. Anything reading CHECK is a design problem, not a spreadsheet problem.</t>
  </si>
  <si>
    <t xml:space="preserve">2. Adjust Parameters until the checks pass and the run length lands where you want it.</t>
  </si>
  <si>
    <t xml:space="preserve">3. Use Run Ledger to test a specific route: change column B (Travel/Work/Gather) and C (hue 1-7).</t>
  </si>
  <si>
    <t xml:space="preserve">Assumptions to challenge</t>
  </si>
  <si>
    <t xml:space="preserve">Every number here is invented. They exist so the model has something to multiply.</t>
  </si>
  <si>
    <t xml:space="preserve">Costs are flat. Stats, mastery and Attunement discounts are NOT modelled - this is the floor.</t>
  </si>
  <si>
    <t xml:space="preserve">The ledger models one run from full pools. Between-run allocation is on Build Comparison.</t>
  </si>
  <si>
    <t xml:space="preserve">Gather has no diminishing returns modelled; set its vitality cost to 0 to see the infinite loop.</t>
  </si>
  <si>
    <t xml:space="preserve">Parameters</t>
  </si>
  <si>
    <t xml:space="preserve">Blue cells are inputs.</t>
  </si>
  <si>
    <t xml:space="preserve">THE CLOCK</t>
  </si>
  <si>
    <t xml:space="preserve">Vitality maximum</t>
  </si>
  <si>
    <t xml:space="preserve">The run ends when this hits zero</t>
  </si>
  <si>
    <t xml:space="preserve">Overflow multiplier</t>
  </si>
  <si>
    <t xml:space="preserve">Vitality cost per point of unpayable pathos. 1.0 = full price</t>
  </si>
  <si>
    <t xml:space="preserve">POOLS</t>
  </si>
  <si>
    <t xml:space="preserve">Total pathos budget</t>
  </si>
  <si>
    <t xml:space="preserve">Distributed across 7 pools on Build Comparison</t>
  </si>
  <si>
    <t xml:space="preserve">Pool capacity cap per hue</t>
  </si>
  <si>
    <t xml:space="preserve">Ceiling a single pool can hold</t>
  </si>
  <si>
    <t xml:space="preserve">ACTION COSTS</t>
  </si>
  <si>
    <t xml:space="preserve">Hall traversal - per pool</t>
  </si>
  <si>
    <t xml:space="preserve">Drawn from ALL SEVEN pools. The dominant cost</t>
  </si>
  <si>
    <t xml:space="preserve">Realm work - primary hue</t>
  </si>
  <si>
    <t xml:space="preserve">A standard working in the realm's own hue</t>
  </si>
  <si>
    <t xml:space="preserve">Realm work - vitality paid</t>
  </si>
  <si>
    <t xml:space="preserve">Burst: pay a working in vitality instead (Maroon)</t>
  </si>
  <si>
    <t xml:space="preserve">Gather - yield</t>
  </si>
  <si>
    <t xml:space="preserve">Pathos returned to the target pool</t>
  </si>
  <si>
    <t xml:space="preserve">Gather - vitality cost</t>
  </si>
  <si>
    <t xml:space="preserve">Set to 0 to demonstrate the infinite gather loop</t>
  </si>
  <si>
    <t xml:space="preserve">TIME</t>
  </si>
  <si>
    <t xml:space="preserve">Seconds per action</t>
  </si>
  <si>
    <t xml:space="preserve">Average at 1x speed</t>
  </si>
  <si>
    <t xml:space="preserve">Target actions per run - low</t>
  </si>
  <si>
    <t xml:space="preserve">Below this, the queue is too short to be a puzzle</t>
  </si>
  <si>
    <t xml:space="preserve">Target actions per run - high</t>
  </si>
  <si>
    <t xml:space="preserve">Above this, planning becomes tedious</t>
  </si>
  <si>
    <t xml:space="preserve">WALL THRESHOLDS</t>
  </si>
  <si>
    <t xml:space="preserve">Magnitude wall requirement</t>
  </si>
  <si>
    <t xml:space="preserve">Single-hue value needed. Spike territory</t>
  </si>
  <si>
    <t xml:space="preserve">Breadth wall requirement</t>
  </si>
  <si>
    <t xml:space="preserve">Needed in 4+ hues AT ONCE. Balanced territory</t>
  </si>
  <si>
    <t xml:space="preserve">Build Comparison</t>
  </si>
  <si>
    <t xml:space="preserve">Allocations are inputs (blue). Everything else is computed. Travel endurance assumes travel-only; realm depth assumes one hue is spent after arriving.</t>
  </si>
  <si>
    <t xml:space="preserve">ALLOCATION</t>
  </si>
  <si>
    <t xml:space="preserve">Build</t>
  </si>
  <si>
    <t xml:space="preserve">Amber</t>
  </si>
  <si>
    <t xml:space="preserve">Citrine</t>
  </si>
  <si>
    <t xml:space="preserve">Emerald</t>
  </si>
  <si>
    <t xml:space="preserve">Sapphire</t>
  </si>
  <si>
    <t xml:space="preserve">Iolite</t>
  </si>
  <si>
    <t xml:space="preserve">Amethyst</t>
  </si>
  <si>
    <t xml:space="preserve">Ruby</t>
  </si>
  <si>
    <t xml:space="preserve">Total</t>
  </si>
  <si>
    <t xml:space="preserve">Budget OK?</t>
  </si>
  <si>
    <t xml:space="preserve">Pays vitality?</t>
  </si>
  <si>
    <t xml:space="preserve">Balanced</t>
  </si>
  <si>
    <t xml:space="preserve">No</t>
  </si>
  <si>
    <t xml:space="preserve">Spike (Ruby)</t>
  </si>
  <si>
    <t xml:space="preserve">Lopsided</t>
  </si>
  <si>
    <t xml:space="preserve">Burst</t>
  </si>
  <si>
    <t xml:space="preserve">Yes</t>
  </si>
  <si>
    <t xml:space="preserve">TRAVEL ENDURANCE</t>
  </si>
  <si>
    <t xml:space="preserve">Vitality spent on each successive hall traversal. A pool that runs dry stops absorbing, so its share overflows to vitality.</t>
  </si>
  <si>
    <t xml:space="preserve">Trav 1</t>
  </si>
  <si>
    <t xml:space="preserve">Trav 2</t>
  </si>
  <si>
    <t xml:space="preserve">Trav 3</t>
  </si>
  <si>
    <t xml:space="preserve">Trav 4</t>
  </si>
  <si>
    <t xml:space="preserve">Trav 5</t>
  </si>
  <si>
    <t xml:space="preserve">Trav 6</t>
  </si>
  <si>
    <t xml:space="preserve">Trav 7</t>
  </si>
  <si>
    <t xml:space="preserve">Trav 8</t>
  </si>
  <si>
    <t xml:space="preserve">Cum. 1-8</t>
  </si>
  <si>
    <t xml:space="preserve">Max traversals</t>
  </si>
  <si>
    <t xml:space="preserve">Max traversals counts how many single traversals cost less than full vitality. Rough guide, not cumulative.</t>
  </si>
  <si>
    <t xml:space="preserve">REALM DEPTH</t>
  </si>
  <si>
    <t xml:space="preserve">After arriving, how many workings can be cast in the strongest hue before that pool is dry.</t>
  </si>
  <si>
    <t xml:space="preserve">Strongest pool</t>
  </si>
  <si>
    <t xml:space="preserve">After 1 traversal</t>
  </si>
  <si>
    <t xml:space="preserve">Workings available</t>
  </si>
  <si>
    <t xml:space="preserve">After 2 traversals</t>
  </si>
  <si>
    <t xml:space="preserve">Magnitude wall?</t>
  </si>
  <si>
    <t xml:space="preserve">Breadth wall?</t>
  </si>
  <si>
    <t xml:space="preserve">Run Ledger</t>
  </si>
  <si>
    <t xml:space="preserve">One run, step by step. Edit column B (Travel / Work / Gather) and column C (hue 1-7) to test a route. Row 6 is the starting state - edit it or link it to a build.</t>
  </si>
  <si>
    <t xml:space="preserve">Starting pools</t>
  </si>
  <si>
    <t xml:space="preserve">Step</t>
  </si>
  <si>
    <t xml:space="preserve">Action</t>
  </si>
  <si>
    <t xml:space="preserve">Hue</t>
  </si>
  <si>
    <t xml:space="preserve">Vitality</t>
  </si>
  <si>
    <t xml:space="preserve">Overflow</t>
  </si>
  <si>
    <t xml:space="preserve">State</t>
  </si>
  <si>
    <t xml:space="preserve">RUN SUMMARY</t>
  </si>
  <si>
    <t xml:space="preserve">START</t>
  </si>
  <si>
    <t xml:space="preserve">alive</t>
  </si>
  <si>
    <t xml:space="preserve">Actions completed</t>
  </si>
  <si>
    <t xml:space="preserve">Travel</t>
  </si>
  <si>
    <t xml:space="preserve">Vitality remaining</t>
  </si>
  <si>
    <t xml:space="preserve">Work</t>
  </si>
  <si>
    <t xml:space="preserve">Traversals made</t>
  </si>
  <si>
    <t xml:space="preserve">Workings cast</t>
  </si>
  <si>
    <t xml:space="preserve">Total overflow to vitality</t>
  </si>
  <si>
    <t xml:space="preserve">Run length (minutes)</t>
  </si>
  <si>
    <t xml:space="preserve">Edit column B and C to test a route.</t>
  </si>
  <si>
    <t xml:space="preserve">Actions after RUN OVER are not counted.</t>
  </si>
  <si>
    <t xml:space="preserve">Gather</t>
  </si>
  <si>
    <t xml:space="preserve">Health Checks</t>
  </si>
  <si>
    <t xml:space="preserve">Each row is a design question the numbers must answer. CHECK means a design problem.</t>
  </si>
  <si>
    <t xml:space="preserve">#</t>
  </si>
  <si>
    <t xml:space="preserve">Question</t>
  </si>
  <si>
    <t xml:space="preserve">Measure</t>
  </si>
  <si>
    <t xml:space="preserve">Value</t>
  </si>
  <si>
    <t xml:space="preserve">Wanted</t>
  </si>
  <si>
    <t xml:space="preserve">Verdict</t>
  </si>
  <si>
    <t xml:space="preserve">Is a run long enough to be a puzzle?</t>
  </si>
  <si>
    <t xml:space="preserve">Actions completed in the ledger</t>
  </si>
  <si>
    <t xml:space="preserve">Does Spike actually travel less than Balanced?</t>
  </si>
  <si>
    <t xml:space="preserve">Spike vitality on traversal 2 vs Balanced</t>
  </si>
  <si>
    <t xml:space="preserve">Spike costs more</t>
  </si>
  <si>
    <t xml:space="preserve">Can Spike reach a magnitude wall?</t>
  </si>
  <si>
    <t xml:space="preserve">Spike strongest pool vs requirement</t>
  </si>
  <si>
    <t xml:space="preserve">Can Balanced reach a breadth wall?</t>
  </si>
  <si>
    <t xml:space="preserve">Balanced pools at or above the floor</t>
  </si>
  <si>
    <t xml:space="preserve">4 or more</t>
  </si>
  <si>
    <t xml:space="preserve">Is Spike locked out of breadth walls?</t>
  </si>
  <si>
    <t xml:space="preserve">Spike pools at or above the floor</t>
  </si>
  <si>
    <t xml:space="preserve">fewer than 4</t>
  </si>
  <si>
    <t xml:space="preserve">Is Balanced locked out of magnitude walls?</t>
  </si>
  <si>
    <t xml:space="preserve">Balanced strongest pool vs requirement</t>
  </si>
  <si>
    <t xml:space="preserve">below =Parameters!$B$25</t>
  </si>
  <si>
    <t xml:space="preserve">Does travel dominate the cost structure?</t>
  </si>
  <si>
    <t xml:space="preserve">One traversal vs one working</t>
  </si>
  <si>
    <t xml:space="preserve">5x or more</t>
  </si>
  <si>
    <t xml:space="preserve">Is Gather bounded?</t>
  </si>
  <si>
    <t xml:space="preserve">Vitality cost per gather</t>
  </si>
  <si>
    <t xml:space="preserve">above zero</t>
  </si>
  <si>
    <t xml:space="preserve">Does the ledger run end at all?</t>
  </si>
  <si>
    <t xml:space="preserve">Vitality remaining at the last step</t>
  </si>
  <si>
    <t xml:space="preserve">zero</t>
  </si>
  <si>
    <t xml:space="preserve">Checks failing</t>
  </si>
  <si>
    <t xml:space="preserve">Each is a design decision, not a spreadsheet bug.</t>
  </si>
  <si>
    <t xml:space="preserve">WHAT EACH FAILURE MEANS</t>
  </si>
  <si>
    <t xml:space="preserve">1  Run too short: lower travel cost or raise the pathos budget. Too long: the reverse.</t>
  </si>
  <si>
    <t xml:space="preserve">2-6  If archetypes are not separated, the wall thresholds are wrong, not the builds.</t>
  </si>
  <si>
    <t xml:space="preserve">7  If travel is cheap, every build tours and pool shape stops deciding route length.</t>
  </si>
  <si>
    <t xml:space="preserve">8  Gather at zero vitality cost makes an infinite run. This is open question 9 in the GDD.</t>
  </si>
  <si>
    <t xml:space="preserve">9  If the ledger never ends, the route is sustainable - which is the same problem as 8.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</si>
</sst>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2A4A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8E6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5" t="s">
        <v>21</v>
      </c>
    </row>
    <row r="5" customFormat="false" ht="15" hidden="false" customHeight="false" outlineLevel="0" collapsed="false">
      <c r="A5" s="4" t="s">
        <v>22</v>
      </c>
      <c r="B5" s="6" t="n">
        <v>100</v>
      </c>
      <c r="C5" s="2" t="s">
        <v>23</v>
      </c>
    </row>
    <row r="6" customFormat="false" ht="15" hidden="false" customHeight="false" outlineLevel="0" collapsed="false">
      <c r="A6" s="4" t="s">
        <v>24</v>
      </c>
      <c r="B6" s="7" t="n">
        <v>1</v>
      </c>
      <c r="C6" s="2" t="s">
        <v>25</v>
      </c>
    </row>
    <row r="8" customFormat="false" ht="15" hidden="false" customHeight="false" outlineLevel="0" collapsed="false">
      <c r="A8" s="5" t="s">
        <v>26</v>
      </c>
    </row>
    <row r="9" customFormat="false" ht="15" hidden="false" customHeight="false" outlineLevel="0" collapsed="false">
      <c r="A9" s="4" t="s">
        <v>27</v>
      </c>
      <c r="B9" s="7" t="n">
        <v>700</v>
      </c>
      <c r="C9" s="2" t="s">
        <v>28</v>
      </c>
    </row>
    <row r="10" customFormat="false" ht="15" hidden="false" customHeight="false" outlineLevel="0" collapsed="false">
      <c r="A10" s="4" t="s">
        <v>29</v>
      </c>
      <c r="B10" s="6" t="n">
        <v>700</v>
      </c>
      <c r="C10" s="2" t="s">
        <v>30</v>
      </c>
    </row>
    <row r="12" customFormat="false" ht="15" hidden="false" customHeight="false" outlineLevel="0" collapsed="false">
      <c r="A12" s="5" t="s">
        <v>31</v>
      </c>
    </row>
    <row r="13" customFormat="false" ht="15" hidden="false" customHeight="false" outlineLevel="0" collapsed="false">
      <c r="A13" s="4" t="s">
        <v>32</v>
      </c>
      <c r="B13" s="7" t="n">
        <v>15</v>
      </c>
      <c r="C13" s="2" t="s">
        <v>33</v>
      </c>
    </row>
    <row r="14" customFormat="false" ht="15" hidden="false" customHeight="false" outlineLevel="0" collapsed="false">
      <c r="A14" s="4" t="s">
        <v>34</v>
      </c>
      <c r="B14" s="6" t="n">
        <v>8</v>
      </c>
      <c r="C14" s="2" t="s">
        <v>35</v>
      </c>
    </row>
    <row r="15" customFormat="false" ht="15" hidden="false" customHeight="false" outlineLevel="0" collapsed="false">
      <c r="A15" s="4" t="s">
        <v>36</v>
      </c>
      <c r="B15" s="6" t="n">
        <v>12</v>
      </c>
      <c r="C15" s="2" t="s">
        <v>37</v>
      </c>
    </row>
    <row r="16" customFormat="false" ht="15" hidden="false" customHeight="false" outlineLevel="0" collapsed="false">
      <c r="A16" s="4" t="s">
        <v>38</v>
      </c>
      <c r="B16" s="6" t="n">
        <v>20</v>
      </c>
      <c r="C16" s="2" t="s">
        <v>39</v>
      </c>
    </row>
    <row r="17" customFormat="false" ht="15" hidden="false" customHeight="false" outlineLevel="0" collapsed="false">
      <c r="A17" s="4" t="s">
        <v>40</v>
      </c>
      <c r="B17" s="7" t="n">
        <v>2</v>
      </c>
      <c r="C17" s="2" t="s">
        <v>41</v>
      </c>
    </row>
    <row r="19" customFormat="false" ht="15" hidden="false" customHeight="false" outlineLevel="0" collapsed="false">
      <c r="A19" s="5" t="s">
        <v>42</v>
      </c>
    </row>
    <row r="20" customFormat="false" ht="15" hidden="false" customHeight="false" outlineLevel="0" collapsed="false">
      <c r="A20" s="4" t="s">
        <v>43</v>
      </c>
      <c r="B20" s="6" t="n">
        <v>4</v>
      </c>
      <c r="C20" s="2" t="s">
        <v>44</v>
      </c>
    </row>
    <row r="21" customFormat="false" ht="15" hidden="false" customHeight="false" outlineLevel="0" collapsed="false">
      <c r="A21" s="4" t="s">
        <v>45</v>
      </c>
      <c r="B21" s="6" t="n">
        <v>30</v>
      </c>
      <c r="C21" s="2" t="s">
        <v>46</v>
      </c>
    </row>
    <row r="22" customFormat="false" ht="15" hidden="false" customHeight="false" outlineLevel="0" collapsed="false">
      <c r="A22" s="4" t="s">
        <v>47</v>
      </c>
      <c r="B22" s="6" t="n">
        <v>90</v>
      </c>
      <c r="C22" s="2" t="s">
        <v>48</v>
      </c>
    </row>
    <row r="24" customFormat="false" ht="15" hidden="false" customHeight="false" outlineLevel="0" collapsed="false">
      <c r="A24" s="5" t="s">
        <v>49</v>
      </c>
    </row>
    <row r="25" customFormat="false" ht="15" hidden="false" customHeight="false" outlineLevel="0" collapsed="false">
      <c r="A25" s="4" t="s">
        <v>50</v>
      </c>
      <c r="B25" s="6" t="n">
        <v>400</v>
      </c>
      <c r="C25" s="2" t="s">
        <v>51</v>
      </c>
    </row>
    <row r="26" customFormat="false" ht="15" hidden="false" customHeight="false" outlineLevel="0" collapsed="false">
      <c r="A26" s="4" t="s">
        <v>52</v>
      </c>
      <c r="B26" s="6" t="n">
        <v>60</v>
      </c>
      <c r="C26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6" min="3" style="0" width="15"/>
    <col collapsed="false" customWidth="true" hidden="false" outlineLevel="0" max="8" min="7" style="0" width="14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5" t="s">
        <v>56</v>
      </c>
    </row>
    <row r="5" customFormat="false" ht="15" hidden="false" customHeight="false" outlineLevel="0" collapsed="false">
      <c r="A5" s="8" t="s">
        <v>57</v>
      </c>
      <c r="B5" s="8" t="s">
        <v>58</v>
      </c>
      <c r="C5" s="8" t="s">
        <v>59</v>
      </c>
      <c r="D5" s="8" t="s">
        <v>60</v>
      </c>
      <c r="E5" s="8" t="s">
        <v>61</v>
      </c>
      <c r="F5" s="8" t="s">
        <v>62</v>
      </c>
      <c r="G5" s="8" t="s">
        <v>63</v>
      </c>
      <c r="H5" s="8" t="s">
        <v>64</v>
      </c>
      <c r="I5" s="8" t="s">
        <v>65</v>
      </c>
      <c r="J5" s="8" t="s">
        <v>66</v>
      </c>
      <c r="K5" s="8" t="s">
        <v>67</v>
      </c>
    </row>
    <row r="6" customFormat="false" ht="15" hidden="false" customHeight="false" outlineLevel="0" collapsed="false">
      <c r="A6" s="9" t="s">
        <v>68</v>
      </c>
      <c r="B6" s="10" t="n">
        <v>100</v>
      </c>
      <c r="C6" s="10" t="n">
        <v>100</v>
      </c>
      <c r="D6" s="10" t="n">
        <v>100</v>
      </c>
      <c r="E6" s="10" t="n">
        <v>100</v>
      </c>
      <c r="F6" s="10" t="n">
        <v>100</v>
      </c>
      <c r="G6" s="10" t="n">
        <v>100</v>
      </c>
      <c r="H6" s="10" t="n">
        <v>100</v>
      </c>
      <c r="I6" s="11" t="n">
        <f aca="false">SUM(B6:H6)</f>
        <v>700</v>
      </c>
      <c r="J6" s="11" t="str">
        <f aca="false">IF(I6&lt;=Parameters!$B$9,"OK","OVER BUDGET")</f>
        <v>OK</v>
      </c>
      <c r="K6" s="10" t="s">
        <v>69</v>
      </c>
    </row>
    <row r="7" customFormat="false" ht="15" hidden="false" customHeight="false" outlineLevel="0" collapsed="false">
      <c r="A7" s="9" t="s">
        <v>70</v>
      </c>
      <c r="B7" s="10" t="n">
        <v>10</v>
      </c>
      <c r="C7" s="10" t="n">
        <v>10</v>
      </c>
      <c r="D7" s="10" t="n">
        <v>10</v>
      </c>
      <c r="E7" s="10" t="n">
        <v>10</v>
      </c>
      <c r="F7" s="10" t="n">
        <v>10</v>
      </c>
      <c r="G7" s="10" t="n">
        <v>10</v>
      </c>
      <c r="H7" s="10" t="n">
        <v>640</v>
      </c>
      <c r="I7" s="11" t="n">
        <f aca="false">SUM(B7:H7)</f>
        <v>700</v>
      </c>
      <c r="J7" s="11" t="str">
        <f aca="false">IF(I7&lt;=Parameters!$B$9,"OK","OVER BUDGET")</f>
        <v>OK</v>
      </c>
      <c r="K7" s="10" t="s">
        <v>69</v>
      </c>
    </row>
    <row r="8" customFormat="false" ht="15" hidden="false" customHeight="false" outlineLevel="0" collapsed="false">
      <c r="A8" s="9" t="s">
        <v>71</v>
      </c>
      <c r="B8" s="10" t="n">
        <v>250</v>
      </c>
      <c r="C8" s="10" t="n">
        <v>200</v>
      </c>
      <c r="D8" s="10" t="n">
        <v>150</v>
      </c>
      <c r="E8" s="10" t="n">
        <v>25</v>
      </c>
      <c r="F8" s="10" t="n">
        <v>25</v>
      </c>
      <c r="G8" s="10" t="n">
        <v>25</v>
      </c>
      <c r="H8" s="10" t="n">
        <v>25</v>
      </c>
      <c r="I8" s="11" t="n">
        <f aca="false">SUM(B8:H8)</f>
        <v>700</v>
      </c>
      <c r="J8" s="11" t="str">
        <f aca="false">IF(I8&lt;=Parameters!$B$9,"OK","OVER BUDGET")</f>
        <v>OK</v>
      </c>
      <c r="K8" s="10" t="s">
        <v>69</v>
      </c>
    </row>
    <row r="9" customFormat="false" ht="15" hidden="false" customHeight="false" outlineLevel="0" collapsed="false">
      <c r="A9" s="9" t="s">
        <v>72</v>
      </c>
      <c r="B9" s="10" t="n">
        <v>100</v>
      </c>
      <c r="C9" s="10" t="n">
        <v>100</v>
      </c>
      <c r="D9" s="10" t="n">
        <v>100</v>
      </c>
      <c r="E9" s="10" t="n">
        <v>100</v>
      </c>
      <c r="F9" s="10" t="n">
        <v>100</v>
      </c>
      <c r="G9" s="10" t="n">
        <v>100</v>
      </c>
      <c r="H9" s="10" t="n">
        <v>100</v>
      </c>
      <c r="I9" s="11" t="n">
        <f aca="false">SUM(B9:H9)</f>
        <v>700</v>
      </c>
      <c r="J9" s="11" t="str">
        <f aca="false">IF(I9&lt;=Parameters!$B$9,"OK","OVER BUDGET")</f>
        <v>OK</v>
      </c>
      <c r="K9" s="10" t="s">
        <v>73</v>
      </c>
    </row>
    <row r="12" customFormat="false" ht="15" hidden="false" customHeight="false" outlineLevel="0" collapsed="false">
      <c r="A12" s="5" t="s">
        <v>74</v>
      </c>
    </row>
    <row r="13" customFormat="false" ht="15" hidden="false" customHeight="false" outlineLevel="0" collapsed="false">
      <c r="A13" s="2" t="s">
        <v>75</v>
      </c>
    </row>
    <row r="14" customFormat="false" ht="23.85" hidden="false" customHeight="false" outlineLevel="0" collapsed="false">
      <c r="A14" s="8" t="s">
        <v>57</v>
      </c>
      <c r="B14" s="8" t="s">
        <v>76</v>
      </c>
      <c r="C14" s="8" t="s">
        <v>77</v>
      </c>
      <c r="D14" s="8" t="s">
        <v>78</v>
      </c>
      <c r="E14" s="8" t="s">
        <v>79</v>
      </c>
      <c r="F14" s="8" t="s">
        <v>80</v>
      </c>
      <c r="G14" s="8" t="s">
        <v>81</v>
      </c>
      <c r="H14" s="8" t="s">
        <v>82</v>
      </c>
      <c r="I14" s="8" t="s">
        <v>83</v>
      </c>
      <c r="J14" s="8" t="s">
        <v>84</v>
      </c>
      <c r="K14" s="8" t="s">
        <v>85</v>
      </c>
    </row>
    <row r="15" customFormat="false" ht="15" hidden="false" customHeight="false" outlineLevel="0" collapsed="false">
      <c r="A15" s="12" t="str">
        <f aca="false">A6</f>
        <v>Balanced</v>
      </c>
      <c r="B15" s="11" t="n">
        <f aca="false">(MAX(0,Parameters!$B$13-MIN(Parameters!$B$13,MAX(0,B6-Parameters!$B$13*0)))+MAX(0,Parameters!$B$13-MIN(Parameters!$B$13,MAX(0,C6-Parameters!$B$13*0)))+MAX(0,Parameters!$B$13-MIN(Parameters!$B$13,MAX(0,D6-Parameters!$B$13*0)))+MAX(0,Parameters!$B$13-MIN(Parameters!$B$13,MAX(0,E6-Parameters!$B$13*0)))+MAX(0,Parameters!$B$13-MIN(Parameters!$B$13,MAX(0,F6-Parameters!$B$13*0)))+MAX(0,Parameters!$B$13-MIN(Parameters!$B$13,MAX(0,G6-Parameters!$B$13*0)))+MAX(0,Parameters!$B$13-MIN(Parameters!$B$13,MAX(0,H6-Parameters!$B$13*0))))*Parameters!$B$6</f>
        <v>0</v>
      </c>
      <c r="C15" s="11" t="n">
        <f aca="false">(MAX(0,Parameters!$B$13-MIN(Parameters!$B$13,MAX(0,B6-Parameters!$B$13*1)))+MAX(0,Parameters!$B$13-MIN(Parameters!$B$13,MAX(0,C6-Parameters!$B$13*1)))+MAX(0,Parameters!$B$13-MIN(Parameters!$B$13,MAX(0,D6-Parameters!$B$13*1)))+MAX(0,Parameters!$B$13-MIN(Parameters!$B$13,MAX(0,E6-Parameters!$B$13*1)))+MAX(0,Parameters!$B$13-MIN(Parameters!$B$13,MAX(0,F6-Parameters!$B$13*1)))+MAX(0,Parameters!$B$13-MIN(Parameters!$B$13,MAX(0,G6-Parameters!$B$13*1)))+MAX(0,Parameters!$B$13-MIN(Parameters!$B$13,MAX(0,H6-Parameters!$B$13*1))))*Parameters!$B$6</f>
        <v>0</v>
      </c>
      <c r="D15" s="11" t="n">
        <f aca="false">(MAX(0,Parameters!$B$13-MIN(Parameters!$B$13,MAX(0,B6-Parameters!$B$13*2)))+MAX(0,Parameters!$B$13-MIN(Parameters!$B$13,MAX(0,C6-Parameters!$B$13*2)))+MAX(0,Parameters!$B$13-MIN(Parameters!$B$13,MAX(0,D6-Parameters!$B$13*2)))+MAX(0,Parameters!$B$13-MIN(Parameters!$B$13,MAX(0,E6-Parameters!$B$13*2)))+MAX(0,Parameters!$B$13-MIN(Parameters!$B$13,MAX(0,F6-Parameters!$B$13*2)))+MAX(0,Parameters!$B$13-MIN(Parameters!$B$13,MAX(0,G6-Parameters!$B$13*2)))+MAX(0,Parameters!$B$13-MIN(Parameters!$B$13,MAX(0,H6-Parameters!$B$13*2))))*Parameters!$B$6</f>
        <v>0</v>
      </c>
      <c r="E15" s="11" t="n">
        <f aca="false">(MAX(0,Parameters!$B$13-MIN(Parameters!$B$13,MAX(0,B6-Parameters!$B$13*3)))+MAX(0,Parameters!$B$13-MIN(Parameters!$B$13,MAX(0,C6-Parameters!$B$13*3)))+MAX(0,Parameters!$B$13-MIN(Parameters!$B$13,MAX(0,D6-Parameters!$B$13*3)))+MAX(0,Parameters!$B$13-MIN(Parameters!$B$13,MAX(0,E6-Parameters!$B$13*3)))+MAX(0,Parameters!$B$13-MIN(Parameters!$B$13,MAX(0,F6-Parameters!$B$13*3)))+MAX(0,Parameters!$B$13-MIN(Parameters!$B$13,MAX(0,G6-Parameters!$B$13*3)))+MAX(0,Parameters!$B$13-MIN(Parameters!$B$13,MAX(0,H6-Parameters!$B$13*3))))*Parameters!$B$6</f>
        <v>0</v>
      </c>
      <c r="F15" s="11" t="n">
        <f aca="false">(MAX(0,Parameters!$B$13-MIN(Parameters!$B$13,MAX(0,B6-Parameters!$B$13*4)))+MAX(0,Parameters!$B$13-MIN(Parameters!$B$13,MAX(0,C6-Parameters!$B$13*4)))+MAX(0,Parameters!$B$13-MIN(Parameters!$B$13,MAX(0,D6-Parameters!$B$13*4)))+MAX(0,Parameters!$B$13-MIN(Parameters!$B$13,MAX(0,E6-Parameters!$B$13*4)))+MAX(0,Parameters!$B$13-MIN(Parameters!$B$13,MAX(0,F6-Parameters!$B$13*4)))+MAX(0,Parameters!$B$13-MIN(Parameters!$B$13,MAX(0,G6-Parameters!$B$13*4)))+MAX(0,Parameters!$B$13-MIN(Parameters!$B$13,MAX(0,H6-Parameters!$B$13*4))))*Parameters!$B$6</f>
        <v>0</v>
      </c>
      <c r="G15" s="11" t="n">
        <f aca="false">(MAX(0,Parameters!$B$13-MIN(Parameters!$B$13,MAX(0,B6-Parameters!$B$13*5)))+MAX(0,Parameters!$B$13-MIN(Parameters!$B$13,MAX(0,C6-Parameters!$B$13*5)))+MAX(0,Parameters!$B$13-MIN(Parameters!$B$13,MAX(0,D6-Parameters!$B$13*5)))+MAX(0,Parameters!$B$13-MIN(Parameters!$B$13,MAX(0,E6-Parameters!$B$13*5)))+MAX(0,Parameters!$B$13-MIN(Parameters!$B$13,MAX(0,F6-Parameters!$B$13*5)))+MAX(0,Parameters!$B$13-MIN(Parameters!$B$13,MAX(0,G6-Parameters!$B$13*5)))+MAX(0,Parameters!$B$13-MIN(Parameters!$B$13,MAX(0,H6-Parameters!$B$13*5))))*Parameters!$B$6</f>
        <v>0</v>
      </c>
      <c r="H15" s="11" t="n">
        <f aca="false">(MAX(0,Parameters!$B$13-MIN(Parameters!$B$13,MAX(0,B6-Parameters!$B$13*6)))+MAX(0,Parameters!$B$13-MIN(Parameters!$B$13,MAX(0,C6-Parameters!$B$13*6)))+MAX(0,Parameters!$B$13-MIN(Parameters!$B$13,MAX(0,D6-Parameters!$B$13*6)))+MAX(0,Parameters!$B$13-MIN(Parameters!$B$13,MAX(0,E6-Parameters!$B$13*6)))+MAX(0,Parameters!$B$13-MIN(Parameters!$B$13,MAX(0,F6-Parameters!$B$13*6)))+MAX(0,Parameters!$B$13-MIN(Parameters!$B$13,MAX(0,G6-Parameters!$B$13*6)))+MAX(0,Parameters!$B$13-MIN(Parameters!$B$13,MAX(0,H6-Parameters!$B$13*6))))*Parameters!$B$6</f>
        <v>35</v>
      </c>
      <c r="I15" s="11" t="n">
        <f aca="false">(MAX(0,Parameters!$B$13-MIN(Parameters!$B$13,MAX(0,B6-Parameters!$B$13*7)))+MAX(0,Parameters!$B$13-MIN(Parameters!$B$13,MAX(0,C6-Parameters!$B$13*7)))+MAX(0,Parameters!$B$13-MIN(Parameters!$B$13,MAX(0,D6-Parameters!$B$13*7)))+MAX(0,Parameters!$B$13-MIN(Parameters!$B$13,MAX(0,E6-Parameters!$B$13*7)))+MAX(0,Parameters!$B$13-MIN(Parameters!$B$13,MAX(0,F6-Parameters!$B$13*7)))+MAX(0,Parameters!$B$13-MIN(Parameters!$B$13,MAX(0,G6-Parameters!$B$13*7)))+MAX(0,Parameters!$B$13-MIN(Parameters!$B$13,MAX(0,H6-Parameters!$B$13*7))))*Parameters!$B$6</f>
        <v>105</v>
      </c>
      <c r="J15" s="11" t="n">
        <f aca="false">SUM(B15:I15)</f>
        <v>140</v>
      </c>
      <c r="K15" s="11" t="n">
        <f aca="false">COUNTIF(B15:I15,"&lt;"&amp;Parameters!$B$5)</f>
        <v>7</v>
      </c>
    </row>
    <row r="16" customFormat="false" ht="15" hidden="false" customHeight="false" outlineLevel="0" collapsed="false">
      <c r="A16" s="12" t="str">
        <f aca="false">A7</f>
        <v>Spike (Ruby)</v>
      </c>
      <c r="B16" s="11" t="n">
        <f aca="false">(MAX(0,Parameters!$B$13-MIN(Parameters!$B$13,MAX(0,B7-Parameters!$B$13*0)))+MAX(0,Parameters!$B$13-MIN(Parameters!$B$13,MAX(0,C7-Parameters!$B$13*0)))+MAX(0,Parameters!$B$13-MIN(Parameters!$B$13,MAX(0,D7-Parameters!$B$13*0)))+MAX(0,Parameters!$B$13-MIN(Parameters!$B$13,MAX(0,E7-Parameters!$B$13*0)))+MAX(0,Parameters!$B$13-MIN(Parameters!$B$13,MAX(0,F7-Parameters!$B$13*0)))+MAX(0,Parameters!$B$13-MIN(Parameters!$B$13,MAX(0,G7-Parameters!$B$13*0)))+MAX(0,Parameters!$B$13-MIN(Parameters!$B$13,MAX(0,H7-Parameters!$B$13*0))))*Parameters!$B$6</f>
        <v>30</v>
      </c>
      <c r="C16" s="11" t="n">
        <f aca="false">(MAX(0,Parameters!$B$13-MIN(Parameters!$B$13,MAX(0,B7-Parameters!$B$13*1)))+MAX(0,Parameters!$B$13-MIN(Parameters!$B$13,MAX(0,C7-Parameters!$B$13*1)))+MAX(0,Parameters!$B$13-MIN(Parameters!$B$13,MAX(0,D7-Parameters!$B$13*1)))+MAX(0,Parameters!$B$13-MIN(Parameters!$B$13,MAX(0,E7-Parameters!$B$13*1)))+MAX(0,Parameters!$B$13-MIN(Parameters!$B$13,MAX(0,F7-Parameters!$B$13*1)))+MAX(0,Parameters!$B$13-MIN(Parameters!$B$13,MAX(0,G7-Parameters!$B$13*1)))+MAX(0,Parameters!$B$13-MIN(Parameters!$B$13,MAX(0,H7-Parameters!$B$13*1))))*Parameters!$B$6</f>
        <v>90</v>
      </c>
      <c r="D16" s="11" t="n">
        <f aca="false">(MAX(0,Parameters!$B$13-MIN(Parameters!$B$13,MAX(0,B7-Parameters!$B$13*2)))+MAX(0,Parameters!$B$13-MIN(Parameters!$B$13,MAX(0,C7-Parameters!$B$13*2)))+MAX(0,Parameters!$B$13-MIN(Parameters!$B$13,MAX(0,D7-Parameters!$B$13*2)))+MAX(0,Parameters!$B$13-MIN(Parameters!$B$13,MAX(0,E7-Parameters!$B$13*2)))+MAX(0,Parameters!$B$13-MIN(Parameters!$B$13,MAX(0,F7-Parameters!$B$13*2)))+MAX(0,Parameters!$B$13-MIN(Parameters!$B$13,MAX(0,G7-Parameters!$B$13*2)))+MAX(0,Parameters!$B$13-MIN(Parameters!$B$13,MAX(0,H7-Parameters!$B$13*2))))*Parameters!$B$6</f>
        <v>90</v>
      </c>
      <c r="E16" s="11" t="n">
        <f aca="false">(MAX(0,Parameters!$B$13-MIN(Parameters!$B$13,MAX(0,B7-Parameters!$B$13*3)))+MAX(0,Parameters!$B$13-MIN(Parameters!$B$13,MAX(0,C7-Parameters!$B$13*3)))+MAX(0,Parameters!$B$13-MIN(Parameters!$B$13,MAX(0,D7-Parameters!$B$13*3)))+MAX(0,Parameters!$B$13-MIN(Parameters!$B$13,MAX(0,E7-Parameters!$B$13*3)))+MAX(0,Parameters!$B$13-MIN(Parameters!$B$13,MAX(0,F7-Parameters!$B$13*3)))+MAX(0,Parameters!$B$13-MIN(Parameters!$B$13,MAX(0,G7-Parameters!$B$13*3)))+MAX(0,Parameters!$B$13-MIN(Parameters!$B$13,MAX(0,H7-Parameters!$B$13*3))))*Parameters!$B$6</f>
        <v>90</v>
      </c>
      <c r="F16" s="11" t="n">
        <f aca="false">(MAX(0,Parameters!$B$13-MIN(Parameters!$B$13,MAX(0,B7-Parameters!$B$13*4)))+MAX(0,Parameters!$B$13-MIN(Parameters!$B$13,MAX(0,C7-Parameters!$B$13*4)))+MAX(0,Parameters!$B$13-MIN(Parameters!$B$13,MAX(0,D7-Parameters!$B$13*4)))+MAX(0,Parameters!$B$13-MIN(Parameters!$B$13,MAX(0,E7-Parameters!$B$13*4)))+MAX(0,Parameters!$B$13-MIN(Parameters!$B$13,MAX(0,F7-Parameters!$B$13*4)))+MAX(0,Parameters!$B$13-MIN(Parameters!$B$13,MAX(0,G7-Parameters!$B$13*4)))+MAX(0,Parameters!$B$13-MIN(Parameters!$B$13,MAX(0,H7-Parameters!$B$13*4))))*Parameters!$B$6</f>
        <v>90</v>
      </c>
      <c r="G16" s="11" t="n">
        <f aca="false">(MAX(0,Parameters!$B$13-MIN(Parameters!$B$13,MAX(0,B7-Parameters!$B$13*5)))+MAX(0,Parameters!$B$13-MIN(Parameters!$B$13,MAX(0,C7-Parameters!$B$13*5)))+MAX(0,Parameters!$B$13-MIN(Parameters!$B$13,MAX(0,D7-Parameters!$B$13*5)))+MAX(0,Parameters!$B$13-MIN(Parameters!$B$13,MAX(0,E7-Parameters!$B$13*5)))+MAX(0,Parameters!$B$13-MIN(Parameters!$B$13,MAX(0,F7-Parameters!$B$13*5)))+MAX(0,Parameters!$B$13-MIN(Parameters!$B$13,MAX(0,G7-Parameters!$B$13*5)))+MAX(0,Parameters!$B$13-MIN(Parameters!$B$13,MAX(0,H7-Parameters!$B$13*5))))*Parameters!$B$6</f>
        <v>90</v>
      </c>
      <c r="H16" s="11" t="n">
        <f aca="false">(MAX(0,Parameters!$B$13-MIN(Parameters!$B$13,MAX(0,B7-Parameters!$B$13*6)))+MAX(0,Parameters!$B$13-MIN(Parameters!$B$13,MAX(0,C7-Parameters!$B$13*6)))+MAX(0,Parameters!$B$13-MIN(Parameters!$B$13,MAX(0,D7-Parameters!$B$13*6)))+MAX(0,Parameters!$B$13-MIN(Parameters!$B$13,MAX(0,E7-Parameters!$B$13*6)))+MAX(0,Parameters!$B$13-MIN(Parameters!$B$13,MAX(0,F7-Parameters!$B$13*6)))+MAX(0,Parameters!$B$13-MIN(Parameters!$B$13,MAX(0,G7-Parameters!$B$13*6)))+MAX(0,Parameters!$B$13-MIN(Parameters!$B$13,MAX(0,H7-Parameters!$B$13*6))))*Parameters!$B$6</f>
        <v>90</v>
      </c>
      <c r="I16" s="11" t="n">
        <f aca="false">(MAX(0,Parameters!$B$13-MIN(Parameters!$B$13,MAX(0,B7-Parameters!$B$13*7)))+MAX(0,Parameters!$B$13-MIN(Parameters!$B$13,MAX(0,C7-Parameters!$B$13*7)))+MAX(0,Parameters!$B$13-MIN(Parameters!$B$13,MAX(0,D7-Parameters!$B$13*7)))+MAX(0,Parameters!$B$13-MIN(Parameters!$B$13,MAX(0,E7-Parameters!$B$13*7)))+MAX(0,Parameters!$B$13-MIN(Parameters!$B$13,MAX(0,F7-Parameters!$B$13*7)))+MAX(0,Parameters!$B$13-MIN(Parameters!$B$13,MAX(0,G7-Parameters!$B$13*7)))+MAX(0,Parameters!$B$13-MIN(Parameters!$B$13,MAX(0,H7-Parameters!$B$13*7))))*Parameters!$B$6</f>
        <v>90</v>
      </c>
      <c r="J16" s="11" t="n">
        <f aca="false">SUM(B16:I16)</f>
        <v>660</v>
      </c>
      <c r="K16" s="11" t="n">
        <f aca="false">COUNTIF(B16:I16,"&lt;"&amp;Parameters!$B$5)</f>
        <v>8</v>
      </c>
    </row>
    <row r="17" customFormat="false" ht="15" hidden="false" customHeight="false" outlineLevel="0" collapsed="false">
      <c r="A17" s="12" t="str">
        <f aca="false">A8</f>
        <v>Lopsided</v>
      </c>
      <c r="B17" s="11" t="n">
        <f aca="false">(MAX(0,Parameters!$B$13-MIN(Parameters!$B$13,MAX(0,B8-Parameters!$B$13*0)))+MAX(0,Parameters!$B$13-MIN(Parameters!$B$13,MAX(0,C8-Parameters!$B$13*0)))+MAX(0,Parameters!$B$13-MIN(Parameters!$B$13,MAX(0,D8-Parameters!$B$13*0)))+MAX(0,Parameters!$B$13-MIN(Parameters!$B$13,MAX(0,E8-Parameters!$B$13*0)))+MAX(0,Parameters!$B$13-MIN(Parameters!$B$13,MAX(0,F8-Parameters!$B$13*0)))+MAX(0,Parameters!$B$13-MIN(Parameters!$B$13,MAX(0,G8-Parameters!$B$13*0)))+MAX(0,Parameters!$B$13-MIN(Parameters!$B$13,MAX(0,H8-Parameters!$B$13*0))))*Parameters!$B$6</f>
        <v>0</v>
      </c>
      <c r="C17" s="11" t="n">
        <f aca="false">(MAX(0,Parameters!$B$13-MIN(Parameters!$B$13,MAX(0,B8-Parameters!$B$13*1)))+MAX(0,Parameters!$B$13-MIN(Parameters!$B$13,MAX(0,C8-Parameters!$B$13*1)))+MAX(0,Parameters!$B$13-MIN(Parameters!$B$13,MAX(0,D8-Parameters!$B$13*1)))+MAX(0,Parameters!$B$13-MIN(Parameters!$B$13,MAX(0,E8-Parameters!$B$13*1)))+MAX(0,Parameters!$B$13-MIN(Parameters!$B$13,MAX(0,F8-Parameters!$B$13*1)))+MAX(0,Parameters!$B$13-MIN(Parameters!$B$13,MAX(0,G8-Parameters!$B$13*1)))+MAX(0,Parameters!$B$13-MIN(Parameters!$B$13,MAX(0,H8-Parameters!$B$13*1))))*Parameters!$B$6</f>
        <v>20</v>
      </c>
      <c r="D17" s="11" t="n">
        <f aca="false">(MAX(0,Parameters!$B$13-MIN(Parameters!$B$13,MAX(0,B8-Parameters!$B$13*2)))+MAX(0,Parameters!$B$13-MIN(Parameters!$B$13,MAX(0,C8-Parameters!$B$13*2)))+MAX(0,Parameters!$B$13-MIN(Parameters!$B$13,MAX(0,D8-Parameters!$B$13*2)))+MAX(0,Parameters!$B$13-MIN(Parameters!$B$13,MAX(0,E8-Parameters!$B$13*2)))+MAX(0,Parameters!$B$13-MIN(Parameters!$B$13,MAX(0,F8-Parameters!$B$13*2)))+MAX(0,Parameters!$B$13-MIN(Parameters!$B$13,MAX(0,G8-Parameters!$B$13*2)))+MAX(0,Parameters!$B$13-MIN(Parameters!$B$13,MAX(0,H8-Parameters!$B$13*2))))*Parameters!$B$6</f>
        <v>60</v>
      </c>
      <c r="E17" s="11" t="n">
        <f aca="false">(MAX(0,Parameters!$B$13-MIN(Parameters!$B$13,MAX(0,B8-Parameters!$B$13*3)))+MAX(0,Parameters!$B$13-MIN(Parameters!$B$13,MAX(0,C8-Parameters!$B$13*3)))+MAX(0,Parameters!$B$13-MIN(Parameters!$B$13,MAX(0,D8-Parameters!$B$13*3)))+MAX(0,Parameters!$B$13-MIN(Parameters!$B$13,MAX(0,E8-Parameters!$B$13*3)))+MAX(0,Parameters!$B$13-MIN(Parameters!$B$13,MAX(0,F8-Parameters!$B$13*3)))+MAX(0,Parameters!$B$13-MIN(Parameters!$B$13,MAX(0,G8-Parameters!$B$13*3)))+MAX(0,Parameters!$B$13-MIN(Parameters!$B$13,MAX(0,H8-Parameters!$B$13*3))))*Parameters!$B$6</f>
        <v>60</v>
      </c>
      <c r="F17" s="11" t="n">
        <f aca="false">(MAX(0,Parameters!$B$13-MIN(Parameters!$B$13,MAX(0,B8-Parameters!$B$13*4)))+MAX(0,Parameters!$B$13-MIN(Parameters!$B$13,MAX(0,C8-Parameters!$B$13*4)))+MAX(0,Parameters!$B$13-MIN(Parameters!$B$13,MAX(0,D8-Parameters!$B$13*4)))+MAX(0,Parameters!$B$13-MIN(Parameters!$B$13,MAX(0,E8-Parameters!$B$13*4)))+MAX(0,Parameters!$B$13-MIN(Parameters!$B$13,MAX(0,F8-Parameters!$B$13*4)))+MAX(0,Parameters!$B$13-MIN(Parameters!$B$13,MAX(0,G8-Parameters!$B$13*4)))+MAX(0,Parameters!$B$13-MIN(Parameters!$B$13,MAX(0,H8-Parameters!$B$13*4))))*Parameters!$B$6</f>
        <v>60</v>
      </c>
      <c r="G17" s="11" t="n">
        <f aca="false">(MAX(0,Parameters!$B$13-MIN(Parameters!$B$13,MAX(0,B8-Parameters!$B$13*5)))+MAX(0,Parameters!$B$13-MIN(Parameters!$B$13,MAX(0,C8-Parameters!$B$13*5)))+MAX(0,Parameters!$B$13-MIN(Parameters!$B$13,MAX(0,D8-Parameters!$B$13*5)))+MAX(0,Parameters!$B$13-MIN(Parameters!$B$13,MAX(0,E8-Parameters!$B$13*5)))+MAX(0,Parameters!$B$13-MIN(Parameters!$B$13,MAX(0,F8-Parameters!$B$13*5)))+MAX(0,Parameters!$B$13-MIN(Parameters!$B$13,MAX(0,G8-Parameters!$B$13*5)))+MAX(0,Parameters!$B$13-MIN(Parameters!$B$13,MAX(0,H8-Parameters!$B$13*5))))*Parameters!$B$6</f>
        <v>60</v>
      </c>
      <c r="H17" s="11" t="n">
        <f aca="false">(MAX(0,Parameters!$B$13-MIN(Parameters!$B$13,MAX(0,B8-Parameters!$B$13*6)))+MAX(0,Parameters!$B$13-MIN(Parameters!$B$13,MAX(0,C8-Parameters!$B$13*6)))+MAX(0,Parameters!$B$13-MIN(Parameters!$B$13,MAX(0,D8-Parameters!$B$13*6)))+MAX(0,Parameters!$B$13-MIN(Parameters!$B$13,MAX(0,E8-Parameters!$B$13*6)))+MAX(0,Parameters!$B$13-MIN(Parameters!$B$13,MAX(0,F8-Parameters!$B$13*6)))+MAX(0,Parameters!$B$13-MIN(Parameters!$B$13,MAX(0,G8-Parameters!$B$13*6)))+MAX(0,Parameters!$B$13-MIN(Parameters!$B$13,MAX(0,H8-Parameters!$B$13*6))))*Parameters!$B$6</f>
        <v>60</v>
      </c>
      <c r="I17" s="11" t="n">
        <f aca="false">(MAX(0,Parameters!$B$13-MIN(Parameters!$B$13,MAX(0,B8-Parameters!$B$13*7)))+MAX(0,Parameters!$B$13-MIN(Parameters!$B$13,MAX(0,C8-Parameters!$B$13*7)))+MAX(0,Parameters!$B$13-MIN(Parameters!$B$13,MAX(0,D8-Parameters!$B$13*7)))+MAX(0,Parameters!$B$13-MIN(Parameters!$B$13,MAX(0,E8-Parameters!$B$13*7)))+MAX(0,Parameters!$B$13-MIN(Parameters!$B$13,MAX(0,F8-Parameters!$B$13*7)))+MAX(0,Parameters!$B$13-MIN(Parameters!$B$13,MAX(0,G8-Parameters!$B$13*7)))+MAX(0,Parameters!$B$13-MIN(Parameters!$B$13,MAX(0,H8-Parameters!$B$13*7))))*Parameters!$B$6</f>
        <v>60</v>
      </c>
      <c r="J17" s="11" t="n">
        <f aca="false">SUM(B17:I17)</f>
        <v>380</v>
      </c>
      <c r="K17" s="11" t="n">
        <f aca="false">COUNTIF(B17:I17,"&lt;"&amp;Parameters!$B$5)</f>
        <v>8</v>
      </c>
    </row>
    <row r="18" customFormat="false" ht="15" hidden="false" customHeight="false" outlineLevel="0" collapsed="false">
      <c r="A18" s="12" t="str">
        <f aca="false">A9</f>
        <v>Burst</v>
      </c>
      <c r="B18" s="11" t="n">
        <f aca="false">(MAX(0,Parameters!$B$13-MIN(Parameters!$B$13,MAX(0,B9-Parameters!$B$13*0)))+MAX(0,Parameters!$B$13-MIN(Parameters!$B$13,MAX(0,C9-Parameters!$B$13*0)))+MAX(0,Parameters!$B$13-MIN(Parameters!$B$13,MAX(0,D9-Parameters!$B$13*0)))+MAX(0,Parameters!$B$13-MIN(Parameters!$B$13,MAX(0,E9-Parameters!$B$13*0)))+MAX(0,Parameters!$B$13-MIN(Parameters!$B$13,MAX(0,F9-Parameters!$B$13*0)))+MAX(0,Parameters!$B$13-MIN(Parameters!$B$13,MAX(0,G9-Parameters!$B$13*0)))+MAX(0,Parameters!$B$13-MIN(Parameters!$B$13,MAX(0,H9-Parameters!$B$13*0))))*Parameters!$B$6</f>
        <v>0</v>
      </c>
      <c r="C18" s="11" t="n">
        <f aca="false">(MAX(0,Parameters!$B$13-MIN(Parameters!$B$13,MAX(0,B9-Parameters!$B$13*1)))+MAX(0,Parameters!$B$13-MIN(Parameters!$B$13,MAX(0,C9-Parameters!$B$13*1)))+MAX(0,Parameters!$B$13-MIN(Parameters!$B$13,MAX(0,D9-Parameters!$B$13*1)))+MAX(0,Parameters!$B$13-MIN(Parameters!$B$13,MAX(0,E9-Parameters!$B$13*1)))+MAX(0,Parameters!$B$13-MIN(Parameters!$B$13,MAX(0,F9-Parameters!$B$13*1)))+MAX(0,Parameters!$B$13-MIN(Parameters!$B$13,MAX(0,G9-Parameters!$B$13*1)))+MAX(0,Parameters!$B$13-MIN(Parameters!$B$13,MAX(0,H9-Parameters!$B$13*1))))*Parameters!$B$6</f>
        <v>0</v>
      </c>
      <c r="D18" s="11" t="n">
        <f aca="false">(MAX(0,Parameters!$B$13-MIN(Parameters!$B$13,MAX(0,B9-Parameters!$B$13*2)))+MAX(0,Parameters!$B$13-MIN(Parameters!$B$13,MAX(0,C9-Parameters!$B$13*2)))+MAX(0,Parameters!$B$13-MIN(Parameters!$B$13,MAX(0,D9-Parameters!$B$13*2)))+MAX(0,Parameters!$B$13-MIN(Parameters!$B$13,MAX(0,E9-Parameters!$B$13*2)))+MAX(0,Parameters!$B$13-MIN(Parameters!$B$13,MAX(0,F9-Parameters!$B$13*2)))+MAX(0,Parameters!$B$13-MIN(Parameters!$B$13,MAX(0,G9-Parameters!$B$13*2)))+MAX(0,Parameters!$B$13-MIN(Parameters!$B$13,MAX(0,H9-Parameters!$B$13*2))))*Parameters!$B$6</f>
        <v>0</v>
      </c>
      <c r="E18" s="11" t="n">
        <f aca="false">(MAX(0,Parameters!$B$13-MIN(Parameters!$B$13,MAX(0,B9-Parameters!$B$13*3)))+MAX(0,Parameters!$B$13-MIN(Parameters!$B$13,MAX(0,C9-Parameters!$B$13*3)))+MAX(0,Parameters!$B$13-MIN(Parameters!$B$13,MAX(0,D9-Parameters!$B$13*3)))+MAX(0,Parameters!$B$13-MIN(Parameters!$B$13,MAX(0,E9-Parameters!$B$13*3)))+MAX(0,Parameters!$B$13-MIN(Parameters!$B$13,MAX(0,F9-Parameters!$B$13*3)))+MAX(0,Parameters!$B$13-MIN(Parameters!$B$13,MAX(0,G9-Parameters!$B$13*3)))+MAX(0,Parameters!$B$13-MIN(Parameters!$B$13,MAX(0,H9-Parameters!$B$13*3))))*Parameters!$B$6</f>
        <v>0</v>
      </c>
      <c r="F18" s="11" t="n">
        <f aca="false">(MAX(0,Parameters!$B$13-MIN(Parameters!$B$13,MAX(0,B9-Parameters!$B$13*4)))+MAX(0,Parameters!$B$13-MIN(Parameters!$B$13,MAX(0,C9-Parameters!$B$13*4)))+MAX(0,Parameters!$B$13-MIN(Parameters!$B$13,MAX(0,D9-Parameters!$B$13*4)))+MAX(0,Parameters!$B$13-MIN(Parameters!$B$13,MAX(0,E9-Parameters!$B$13*4)))+MAX(0,Parameters!$B$13-MIN(Parameters!$B$13,MAX(0,F9-Parameters!$B$13*4)))+MAX(0,Parameters!$B$13-MIN(Parameters!$B$13,MAX(0,G9-Parameters!$B$13*4)))+MAX(0,Parameters!$B$13-MIN(Parameters!$B$13,MAX(0,H9-Parameters!$B$13*4))))*Parameters!$B$6</f>
        <v>0</v>
      </c>
      <c r="G18" s="11" t="n">
        <f aca="false">(MAX(0,Parameters!$B$13-MIN(Parameters!$B$13,MAX(0,B9-Parameters!$B$13*5)))+MAX(0,Parameters!$B$13-MIN(Parameters!$B$13,MAX(0,C9-Parameters!$B$13*5)))+MAX(0,Parameters!$B$13-MIN(Parameters!$B$13,MAX(0,D9-Parameters!$B$13*5)))+MAX(0,Parameters!$B$13-MIN(Parameters!$B$13,MAX(0,E9-Parameters!$B$13*5)))+MAX(0,Parameters!$B$13-MIN(Parameters!$B$13,MAX(0,F9-Parameters!$B$13*5)))+MAX(0,Parameters!$B$13-MIN(Parameters!$B$13,MAX(0,G9-Parameters!$B$13*5)))+MAX(0,Parameters!$B$13-MIN(Parameters!$B$13,MAX(0,H9-Parameters!$B$13*5))))*Parameters!$B$6</f>
        <v>0</v>
      </c>
      <c r="H18" s="11" t="n">
        <f aca="false">(MAX(0,Parameters!$B$13-MIN(Parameters!$B$13,MAX(0,B9-Parameters!$B$13*6)))+MAX(0,Parameters!$B$13-MIN(Parameters!$B$13,MAX(0,C9-Parameters!$B$13*6)))+MAX(0,Parameters!$B$13-MIN(Parameters!$B$13,MAX(0,D9-Parameters!$B$13*6)))+MAX(0,Parameters!$B$13-MIN(Parameters!$B$13,MAX(0,E9-Parameters!$B$13*6)))+MAX(0,Parameters!$B$13-MIN(Parameters!$B$13,MAX(0,F9-Parameters!$B$13*6)))+MAX(0,Parameters!$B$13-MIN(Parameters!$B$13,MAX(0,G9-Parameters!$B$13*6)))+MAX(0,Parameters!$B$13-MIN(Parameters!$B$13,MAX(0,H9-Parameters!$B$13*6))))*Parameters!$B$6</f>
        <v>35</v>
      </c>
      <c r="I18" s="11" t="n">
        <f aca="false">(MAX(0,Parameters!$B$13-MIN(Parameters!$B$13,MAX(0,B9-Parameters!$B$13*7)))+MAX(0,Parameters!$B$13-MIN(Parameters!$B$13,MAX(0,C9-Parameters!$B$13*7)))+MAX(0,Parameters!$B$13-MIN(Parameters!$B$13,MAX(0,D9-Parameters!$B$13*7)))+MAX(0,Parameters!$B$13-MIN(Parameters!$B$13,MAX(0,E9-Parameters!$B$13*7)))+MAX(0,Parameters!$B$13-MIN(Parameters!$B$13,MAX(0,F9-Parameters!$B$13*7)))+MAX(0,Parameters!$B$13-MIN(Parameters!$B$13,MAX(0,G9-Parameters!$B$13*7)))+MAX(0,Parameters!$B$13-MIN(Parameters!$B$13,MAX(0,H9-Parameters!$B$13*7))))*Parameters!$B$6</f>
        <v>105</v>
      </c>
      <c r="J18" s="11" t="n">
        <f aca="false">SUM(B18:I18)</f>
        <v>140</v>
      </c>
      <c r="K18" s="11" t="n">
        <f aca="false">COUNTIF(B18:I18,"&lt;"&amp;Parameters!$B$5)</f>
        <v>7</v>
      </c>
    </row>
    <row r="20" customFormat="false" ht="15" hidden="false" customHeight="false" outlineLevel="0" collapsed="false">
      <c r="A20" s="2" t="s">
        <v>86</v>
      </c>
    </row>
    <row r="22" customFormat="false" ht="15" hidden="false" customHeight="false" outlineLevel="0" collapsed="false">
      <c r="A22" s="5" t="s">
        <v>87</v>
      </c>
    </row>
    <row r="23" customFormat="false" ht="15" hidden="false" customHeight="false" outlineLevel="0" collapsed="false">
      <c r="A23" s="2" t="s">
        <v>88</v>
      </c>
    </row>
    <row r="24" customFormat="false" ht="23.85" hidden="false" customHeight="false" outlineLevel="0" collapsed="false">
      <c r="A24" s="8" t="s">
        <v>57</v>
      </c>
      <c r="B24" s="8" t="s">
        <v>89</v>
      </c>
      <c r="C24" s="8" t="s">
        <v>90</v>
      </c>
      <c r="D24" s="8" t="s">
        <v>91</v>
      </c>
      <c r="E24" s="8" t="s">
        <v>92</v>
      </c>
      <c r="F24" s="8" t="s">
        <v>91</v>
      </c>
      <c r="G24" s="8" t="s">
        <v>93</v>
      </c>
      <c r="H24" s="8" t="s">
        <v>94</v>
      </c>
    </row>
    <row r="25" customFormat="false" ht="15" hidden="false" customHeight="false" outlineLevel="0" collapsed="false">
      <c r="A25" s="12" t="str">
        <f aca="false">A6</f>
        <v>Balanced</v>
      </c>
      <c r="B25" s="11" t="n">
        <f aca="false">MAX(B6:H6)</f>
        <v>100</v>
      </c>
      <c r="C25" s="11" t="n">
        <f aca="false">MAX(0,B25-Parameters!$B$13)</f>
        <v>85</v>
      </c>
      <c r="D25" s="11" t="n">
        <f aca="false">ROUNDDOWN(C25/Parameters!$B$14,0)</f>
        <v>10</v>
      </c>
      <c r="E25" s="11" t="n">
        <f aca="false">MAX(0,B25-Parameters!$B$13*2)</f>
        <v>70</v>
      </c>
      <c r="F25" s="11" t="n">
        <f aca="false">ROUNDDOWN(E25/Parameters!$B$14,0)</f>
        <v>8</v>
      </c>
      <c r="G25" s="11" t="str">
        <f aca="false">IF(B25&gt;=Parameters!$B$25,"PASS","fail")</f>
        <v>fail</v>
      </c>
      <c r="H25" s="11" t="str">
        <f aca="false">IF(COUNTIF(B6:H6,"&gt;="&amp;Parameters!$B$26)&gt;=4,"PASS","fail")</f>
        <v>PASS</v>
      </c>
    </row>
    <row r="26" customFormat="false" ht="15" hidden="false" customHeight="false" outlineLevel="0" collapsed="false">
      <c r="A26" s="12" t="str">
        <f aca="false">A7</f>
        <v>Spike (Ruby)</v>
      </c>
      <c r="B26" s="11" t="n">
        <f aca="false">MAX(B7:H7)</f>
        <v>640</v>
      </c>
      <c r="C26" s="11" t="n">
        <f aca="false">MAX(0,B26-Parameters!$B$13)</f>
        <v>625</v>
      </c>
      <c r="D26" s="11" t="n">
        <f aca="false">ROUNDDOWN(C26/Parameters!$B$14,0)</f>
        <v>78</v>
      </c>
      <c r="E26" s="11" t="n">
        <f aca="false">MAX(0,B26-Parameters!$B$13*2)</f>
        <v>610</v>
      </c>
      <c r="F26" s="11" t="n">
        <f aca="false">ROUNDDOWN(E26/Parameters!$B$14,0)</f>
        <v>76</v>
      </c>
      <c r="G26" s="11" t="str">
        <f aca="false">IF(B26&gt;=Parameters!$B$25,"PASS","fail")</f>
        <v>PASS</v>
      </c>
      <c r="H26" s="11" t="str">
        <f aca="false">IF(COUNTIF(B7:H7,"&gt;="&amp;Parameters!$B$26)&gt;=4,"PASS","fail")</f>
        <v>fail</v>
      </c>
    </row>
    <row r="27" customFormat="false" ht="15" hidden="false" customHeight="false" outlineLevel="0" collapsed="false">
      <c r="A27" s="12" t="str">
        <f aca="false">A8</f>
        <v>Lopsided</v>
      </c>
      <c r="B27" s="11" t="n">
        <f aca="false">MAX(B8:H8)</f>
        <v>250</v>
      </c>
      <c r="C27" s="11" t="n">
        <f aca="false">MAX(0,B27-Parameters!$B$13)</f>
        <v>235</v>
      </c>
      <c r="D27" s="11" t="n">
        <f aca="false">ROUNDDOWN(C27/Parameters!$B$14,0)</f>
        <v>29</v>
      </c>
      <c r="E27" s="11" t="n">
        <f aca="false">MAX(0,B27-Parameters!$B$13*2)</f>
        <v>220</v>
      </c>
      <c r="F27" s="11" t="n">
        <f aca="false">ROUNDDOWN(E27/Parameters!$B$14,0)</f>
        <v>27</v>
      </c>
      <c r="G27" s="11" t="str">
        <f aca="false">IF(B27&gt;=Parameters!$B$25,"PASS","fail")</f>
        <v>fail</v>
      </c>
      <c r="H27" s="11" t="str">
        <f aca="false">IF(COUNTIF(B8:H8,"&gt;="&amp;Parameters!$B$26)&gt;=4,"PASS","fail")</f>
        <v>fail</v>
      </c>
    </row>
    <row r="28" customFormat="false" ht="15" hidden="false" customHeight="false" outlineLevel="0" collapsed="false">
      <c r="A28" s="12" t="str">
        <f aca="false">A9</f>
        <v>Burst</v>
      </c>
      <c r="B28" s="11" t="n">
        <f aca="false">MAX(B9:H9)</f>
        <v>100</v>
      </c>
      <c r="C28" s="11" t="n">
        <f aca="false">MAX(0,B28-Parameters!$B$13)</f>
        <v>85</v>
      </c>
      <c r="D28" s="11" t="n">
        <f aca="false">ROUNDDOWN(C28/Parameters!$B$14,0)</f>
        <v>10</v>
      </c>
      <c r="E28" s="11" t="n">
        <f aca="false">MAX(0,B28-Parameters!$B$13*2)</f>
        <v>70</v>
      </c>
      <c r="F28" s="11" t="n">
        <f aca="false">ROUNDDOWN(E28/Parameters!$B$14,0)</f>
        <v>8</v>
      </c>
      <c r="G28" s="11" t="str">
        <f aca="false">IF(B28&gt;=Parameters!$B$25,"PASS","fail")</f>
        <v>fail</v>
      </c>
      <c r="H28" s="11" t="str">
        <f aca="false">IF(COUNTIF(B9:H9,"&gt;="&amp;Parameters!$B$26)&gt;=4,"PASS","fail")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4" min="14" style="0" width="3"/>
    <col collapsed="false" customWidth="true" hidden="false" outlineLevel="0" max="15" min="15" style="0" width="26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4" t="s">
        <v>97</v>
      </c>
      <c r="B4" s="2" t="str">
        <f aca="false">IF(TRUE(),"Edit row 6 directly, or paste a build's allocation into D6:J6","")</f>
        <v>Edit row 6 directly, or paste a build's allocation into D6:J6</v>
      </c>
    </row>
    <row r="5" customFormat="false" ht="26.85" hidden="false" customHeight="false" outlineLevel="0" collapsed="false">
      <c r="A5" s="13" t="s">
        <v>98</v>
      </c>
      <c r="B5" s="13" t="s">
        <v>99</v>
      </c>
      <c r="C5" s="13" t="s">
        <v>100</v>
      </c>
      <c r="D5" s="13" t="s">
        <v>58</v>
      </c>
      <c r="E5" s="13" t="s">
        <v>59</v>
      </c>
      <c r="F5" s="13" t="s">
        <v>60</v>
      </c>
      <c r="G5" s="13" t="s">
        <v>61</v>
      </c>
      <c r="H5" s="13" t="s">
        <v>62</v>
      </c>
      <c r="I5" s="13" t="s">
        <v>63</v>
      </c>
      <c r="J5" s="13" t="s">
        <v>64</v>
      </c>
      <c r="K5" s="13" t="s">
        <v>101</v>
      </c>
      <c r="L5" s="13" t="s">
        <v>102</v>
      </c>
      <c r="M5" s="13" t="s">
        <v>103</v>
      </c>
      <c r="O5" s="5" t="s">
        <v>104</v>
      </c>
    </row>
    <row r="6" customFormat="false" ht="15" hidden="false" customHeight="false" outlineLevel="0" collapsed="false">
      <c r="A6" s="3" t="n">
        <v>0</v>
      </c>
      <c r="B6" s="4" t="s">
        <v>105</v>
      </c>
      <c r="C6" s="3"/>
      <c r="D6" s="14" t="n">
        <f aca="false">'Build Comparison'!B$6</f>
        <v>100</v>
      </c>
      <c r="E6" s="14" t="n">
        <f aca="false">'Build Comparison'!C$6</f>
        <v>100</v>
      </c>
      <c r="F6" s="14" t="n">
        <f aca="false">'Build Comparison'!D$6</f>
        <v>100</v>
      </c>
      <c r="G6" s="14" t="n">
        <f aca="false">'Build Comparison'!E$6</f>
        <v>100</v>
      </c>
      <c r="H6" s="14" t="n">
        <f aca="false">'Build Comparison'!F$6</f>
        <v>100</v>
      </c>
      <c r="I6" s="14" t="n">
        <f aca="false">'Build Comparison'!G$6</f>
        <v>100</v>
      </c>
      <c r="J6" s="14" t="n">
        <f aca="false">'Build Comparison'!H$6</f>
        <v>100</v>
      </c>
      <c r="K6" s="14" t="n">
        <f aca="false">Parameters!$B$5</f>
        <v>100</v>
      </c>
      <c r="L6" s="3" t="n">
        <v>0</v>
      </c>
      <c r="M6" s="3" t="s">
        <v>106</v>
      </c>
      <c r="O6" s="4" t="s">
        <v>107</v>
      </c>
      <c r="P6" s="15" t="n">
        <f aca="false">COUNTIF(M7:M51,"alive")</f>
        <v>33</v>
      </c>
    </row>
    <row r="7" customFormat="false" ht="15" hidden="false" customHeight="false" outlineLevel="0" collapsed="false">
      <c r="A7" s="11" t="n">
        <v>1</v>
      </c>
      <c r="B7" s="10" t="s">
        <v>108</v>
      </c>
      <c r="C7" s="10"/>
      <c r="D7" s="11" t="n">
        <f aca="false">IF($K6&lt;=0,D6,IF($B7="Travel",MAX(0,D6-Parameters!$B$13),IF(AND($B7="Work",$C7=1),MAX(0,D6-Parameters!$B$14),IF(AND($B7="Gather",$C7=1),MIN(Parameters!$B$10,D6+Parameters!$B$16),D6))))</f>
        <v>85</v>
      </c>
      <c r="E7" s="11" t="n">
        <f aca="false">IF($K6&lt;=0,E6,IF($B7="Travel",MAX(0,E6-Parameters!$B$13),IF(AND($B7="Work",$C7=2),MAX(0,E6-Parameters!$B$14),IF(AND($B7="Gather",$C7=2),MIN(Parameters!$B$10,E6+Parameters!$B$16),E6))))</f>
        <v>85</v>
      </c>
      <c r="F7" s="11" t="n">
        <f aca="false">IF($K6&lt;=0,F6,IF($B7="Travel",MAX(0,F6-Parameters!$B$13),IF(AND($B7="Work",$C7=3),MAX(0,F6-Parameters!$B$14),IF(AND($B7="Gather",$C7=3),MIN(Parameters!$B$10,F6+Parameters!$B$16),F6))))</f>
        <v>85</v>
      </c>
      <c r="G7" s="11" t="n">
        <f aca="false">IF($K6&lt;=0,G6,IF($B7="Travel",MAX(0,G6-Parameters!$B$13),IF(AND($B7="Work",$C7=4),MAX(0,G6-Parameters!$B$14),IF(AND($B7="Gather",$C7=4),MIN(Parameters!$B$10,G6+Parameters!$B$16),G6))))</f>
        <v>85</v>
      </c>
      <c r="H7" s="11" t="n">
        <f aca="false">IF($K6&lt;=0,H6,IF($B7="Travel",MAX(0,H6-Parameters!$B$13),IF(AND($B7="Work",$C7=5),MAX(0,H6-Parameters!$B$14),IF(AND($B7="Gather",$C7=5),MIN(Parameters!$B$10,H6+Parameters!$B$16),H6))))</f>
        <v>85</v>
      </c>
      <c r="I7" s="11" t="n">
        <f aca="false">IF($K6&lt;=0,I6,IF($B7="Travel",MAX(0,I6-Parameters!$B$13),IF(AND($B7="Work",$C7=6),MAX(0,I6-Parameters!$B$14),IF(AND($B7="Gather",$C7=6),MIN(Parameters!$B$10,I6+Parameters!$B$16),I6))))</f>
        <v>85</v>
      </c>
      <c r="J7" s="11" t="n">
        <f aca="false">IF($K6&lt;=0,J6,IF($B7="Travel",MAX(0,J6-Parameters!$B$13),IF(AND($B7="Work",$C7=7),MAX(0,J6-Parameters!$B$14),IF(AND($B7="Gather",$C7=7),MIN(Parameters!$B$10,J6+Parameters!$B$16),J6))))</f>
        <v>85</v>
      </c>
      <c r="K7" s="11" t="n">
        <f aca="false">IF($K6&lt;=0,0,MAX(0,K6-L7*Parameters!$B$6-IF($B7="Gather",Parameters!$B$17,0)))</f>
        <v>100</v>
      </c>
      <c r="L7" s="11" t="n">
        <f aca="false">IF($K6&lt;=0,0,MAX(0,IF($B7="Travel",Parameters!$B$13*7,IF($B7="Work",Parameters!$B$14,0))-(SUM(D6:J6)-SUM(D7:J7))))</f>
        <v>0</v>
      </c>
      <c r="M7" s="11" t="str">
        <f aca="false">IF(K7&lt;=0,"RUN OVER","alive")</f>
        <v>alive</v>
      </c>
      <c r="O7" s="4" t="s">
        <v>109</v>
      </c>
      <c r="P7" s="16" t="n">
        <f aca="false">K51</f>
        <v>0</v>
      </c>
    </row>
    <row r="8" customFormat="false" ht="15" hidden="false" customHeight="false" outlineLevel="0" collapsed="false">
      <c r="A8" s="11" t="n">
        <v>2</v>
      </c>
      <c r="B8" s="10" t="s">
        <v>110</v>
      </c>
      <c r="C8" s="10" t="n">
        <v>7</v>
      </c>
      <c r="D8" s="11" t="n">
        <f aca="false">IF($K7&lt;=0,D7,IF($B8="Travel",MAX(0,D7-Parameters!$B$13),IF(AND($B8="Work",$C8=1),MAX(0,D7-Parameters!$B$14),IF(AND($B8="Gather",$C8=1),MIN(Parameters!$B$10,D7+Parameters!$B$16),D7))))</f>
        <v>85</v>
      </c>
      <c r="E8" s="11" t="n">
        <f aca="false">IF($K7&lt;=0,E7,IF($B8="Travel",MAX(0,E7-Parameters!$B$13),IF(AND($B8="Work",$C8=2),MAX(0,E7-Parameters!$B$14),IF(AND($B8="Gather",$C8=2),MIN(Parameters!$B$10,E7+Parameters!$B$16),E7))))</f>
        <v>85</v>
      </c>
      <c r="F8" s="11" t="n">
        <f aca="false">IF($K7&lt;=0,F7,IF($B8="Travel",MAX(0,F7-Parameters!$B$13),IF(AND($B8="Work",$C8=3),MAX(0,F7-Parameters!$B$14),IF(AND($B8="Gather",$C8=3),MIN(Parameters!$B$10,F7+Parameters!$B$16),F7))))</f>
        <v>85</v>
      </c>
      <c r="G8" s="11" t="n">
        <f aca="false">IF($K7&lt;=0,G7,IF($B8="Travel",MAX(0,G7-Parameters!$B$13),IF(AND($B8="Work",$C8=4),MAX(0,G7-Parameters!$B$14),IF(AND($B8="Gather",$C8=4),MIN(Parameters!$B$10,G7+Parameters!$B$16),G7))))</f>
        <v>85</v>
      </c>
      <c r="H8" s="11" t="n">
        <f aca="false">IF($K7&lt;=0,H7,IF($B8="Travel",MAX(0,H7-Parameters!$B$13),IF(AND($B8="Work",$C8=5),MAX(0,H7-Parameters!$B$14),IF(AND($B8="Gather",$C8=5),MIN(Parameters!$B$10,H7+Parameters!$B$16),H7))))</f>
        <v>85</v>
      </c>
      <c r="I8" s="11" t="n">
        <f aca="false">IF($K7&lt;=0,I7,IF($B8="Travel",MAX(0,I7-Parameters!$B$13),IF(AND($B8="Work",$C8=6),MAX(0,I7-Parameters!$B$14),IF(AND($B8="Gather",$C8=6),MIN(Parameters!$B$10,I7+Parameters!$B$16),I7))))</f>
        <v>85</v>
      </c>
      <c r="J8" s="11" t="n">
        <f aca="false">IF($K7&lt;=0,J7,IF($B8="Travel",MAX(0,J7-Parameters!$B$13),IF(AND($B8="Work",$C8=7),MAX(0,J7-Parameters!$B$14),IF(AND($B8="Gather",$C8=7),MIN(Parameters!$B$10,J7+Parameters!$B$16),J7))))</f>
        <v>77</v>
      </c>
      <c r="K8" s="11" t="n">
        <f aca="false">IF($K7&lt;=0,0,MAX(0,K7-L8*Parameters!$B$6-IF($B8="Gather",Parameters!$B$17,0)))</f>
        <v>100</v>
      </c>
      <c r="L8" s="11" t="n">
        <f aca="false">IF($K7&lt;=0,0,MAX(0,IF($B8="Travel",Parameters!$B$13*7,IF($B8="Work",Parameters!$B$14,0))-(SUM(D7:J7)-SUM(D8:J8))))</f>
        <v>0</v>
      </c>
      <c r="M8" s="11" t="str">
        <f aca="false">IF(K8&lt;=0,"RUN OVER","alive")</f>
        <v>alive</v>
      </c>
      <c r="O8" s="4" t="s">
        <v>111</v>
      </c>
      <c r="P8" s="16" t="n">
        <f aca="false">COUNTIFS(B7:B51,"Travel",M7:M51,"alive")</f>
        <v>3</v>
      </c>
    </row>
    <row r="9" customFormat="false" ht="15" hidden="false" customHeight="false" outlineLevel="0" collapsed="false">
      <c r="A9" s="11" t="n">
        <v>3</v>
      </c>
      <c r="B9" s="10" t="s">
        <v>110</v>
      </c>
      <c r="C9" s="10" t="n">
        <v>7</v>
      </c>
      <c r="D9" s="11" t="n">
        <f aca="false">IF($K8&lt;=0,D8,IF($B9="Travel",MAX(0,D8-Parameters!$B$13),IF(AND($B9="Work",$C9=1),MAX(0,D8-Parameters!$B$14),IF(AND($B9="Gather",$C9=1),MIN(Parameters!$B$10,D8+Parameters!$B$16),D8))))</f>
        <v>85</v>
      </c>
      <c r="E9" s="11" t="n">
        <f aca="false">IF($K8&lt;=0,E8,IF($B9="Travel",MAX(0,E8-Parameters!$B$13),IF(AND($B9="Work",$C9=2),MAX(0,E8-Parameters!$B$14),IF(AND($B9="Gather",$C9=2),MIN(Parameters!$B$10,E8+Parameters!$B$16),E8))))</f>
        <v>85</v>
      </c>
      <c r="F9" s="11" t="n">
        <f aca="false">IF($K8&lt;=0,F8,IF($B9="Travel",MAX(0,F8-Parameters!$B$13),IF(AND($B9="Work",$C9=3),MAX(0,F8-Parameters!$B$14),IF(AND($B9="Gather",$C9=3),MIN(Parameters!$B$10,F8+Parameters!$B$16),F8))))</f>
        <v>85</v>
      </c>
      <c r="G9" s="11" t="n">
        <f aca="false">IF($K8&lt;=0,G8,IF($B9="Travel",MAX(0,G8-Parameters!$B$13),IF(AND($B9="Work",$C9=4),MAX(0,G8-Parameters!$B$14),IF(AND($B9="Gather",$C9=4),MIN(Parameters!$B$10,G8+Parameters!$B$16),G8))))</f>
        <v>85</v>
      </c>
      <c r="H9" s="11" t="n">
        <f aca="false">IF($K8&lt;=0,H8,IF($B9="Travel",MAX(0,H8-Parameters!$B$13),IF(AND($B9="Work",$C9=5),MAX(0,H8-Parameters!$B$14),IF(AND($B9="Gather",$C9=5),MIN(Parameters!$B$10,H8+Parameters!$B$16),H8))))</f>
        <v>85</v>
      </c>
      <c r="I9" s="11" t="n">
        <f aca="false">IF($K8&lt;=0,I8,IF($B9="Travel",MAX(0,I8-Parameters!$B$13),IF(AND($B9="Work",$C9=6),MAX(0,I8-Parameters!$B$14),IF(AND($B9="Gather",$C9=6),MIN(Parameters!$B$10,I8+Parameters!$B$16),I8))))</f>
        <v>85</v>
      </c>
      <c r="J9" s="11" t="n">
        <f aca="false">IF($K8&lt;=0,J8,IF($B9="Travel",MAX(0,J8-Parameters!$B$13),IF(AND($B9="Work",$C9=7),MAX(0,J8-Parameters!$B$14),IF(AND($B9="Gather",$C9=7),MIN(Parameters!$B$10,J8+Parameters!$B$16),J8))))</f>
        <v>69</v>
      </c>
      <c r="K9" s="11" t="n">
        <f aca="false">IF($K8&lt;=0,0,MAX(0,K8-L9*Parameters!$B$6-IF($B9="Gather",Parameters!$B$17,0)))</f>
        <v>100</v>
      </c>
      <c r="L9" s="11" t="n">
        <f aca="false">IF($K8&lt;=0,0,MAX(0,IF($B9="Travel",Parameters!$B$13*7,IF($B9="Work",Parameters!$B$14,0))-(SUM(D8:J8)-SUM(D9:J9))))</f>
        <v>0</v>
      </c>
      <c r="M9" s="11" t="str">
        <f aca="false">IF(K9&lt;=0,"RUN OVER","alive")</f>
        <v>alive</v>
      </c>
      <c r="O9" s="4" t="s">
        <v>112</v>
      </c>
      <c r="P9" s="16" t="n">
        <f aca="false">COUNTIFS(B7:B51,"Work",M7:M51,"alive")</f>
        <v>28</v>
      </c>
    </row>
    <row r="10" customFormat="false" ht="15" hidden="false" customHeight="false" outlineLevel="0" collapsed="false">
      <c r="A10" s="11" t="n">
        <v>4</v>
      </c>
      <c r="B10" s="10" t="s">
        <v>110</v>
      </c>
      <c r="C10" s="10" t="n">
        <v>7</v>
      </c>
      <c r="D10" s="11" t="n">
        <f aca="false">IF($K9&lt;=0,D9,IF($B10="Travel",MAX(0,D9-Parameters!$B$13),IF(AND($B10="Work",$C10=1),MAX(0,D9-Parameters!$B$14),IF(AND($B10="Gather",$C10=1),MIN(Parameters!$B$10,D9+Parameters!$B$16),D9))))</f>
        <v>85</v>
      </c>
      <c r="E10" s="11" t="n">
        <f aca="false">IF($K9&lt;=0,E9,IF($B10="Travel",MAX(0,E9-Parameters!$B$13),IF(AND($B10="Work",$C10=2),MAX(0,E9-Parameters!$B$14),IF(AND($B10="Gather",$C10=2),MIN(Parameters!$B$10,E9+Parameters!$B$16),E9))))</f>
        <v>85</v>
      </c>
      <c r="F10" s="11" t="n">
        <f aca="false">IF($K9&lt;=0,F9,IF($B10="Travel",MAX(0,F9-Parameters!$B$13),IF(AND($B10="Work",$C10=3),MAX(0,F9-Parameters!$B$14),IF(AND($B10="Gather",$C10=3),MIN(Parameters!$B$10,F9+Parameters!$B$16),F9))))</f>
        <v>85</v>
      </c>
      <c r="G10" s="11" t="n">
        <f aca="false">IF($K9&lt;=0,G9,IF($B10="Travel",MAX(0,G9-Parameters!$B$13),IF(AND($B10="Work",$C10=4),MAX(0,G9-Parameters!$B$14),IF(AND($B10="Gather",$C10=4),MIN(Parameters!$B$10,G9+Parameters!$B$16),G9))))</f>
        <v>85</v>
      </c>
      <c r="H10" s="11" t="n">
        <f aca="false">IF($K9&lt;=0,H9,IF($B10="Travel",MAX(0,H9-Parameters!$B$13),IF(AND($B10="Work",$C10=5),MAX(0,H9-Parameters!$B$14),IF(AND($B10="Gather",$C10=5),MIN(Parameters!$B$10,H9+Parameters!$B$16),H9))))</f>
        <v>85</v>
      </c>
      <c r="I10" s="11" t="n">
        <f aca="false">IF($K9&lt;=0,I9,IF($B10="Travel",MAX(0,I9-Parameters!$B$13),IF(AND($B10="Work",$C10=6),MAX(0,I9-Parameters!$B$14),IF(AND($B10="Gather",$C10=6),MIN(Parameters!$B$10,I9+Parameters!$B$16),I9))))</f>
        <v>85</v>
      </c>
      <c r="J10" s="11" t="n">
        <f aca="false">IF($K9&lt;=0,J9,IF($B10="Travel",MAX(0,J9-Parameters!$B$13),IF(AND($B10="Work",$C10=7),MAX(0,J9-Parameters!$B$14),IF(AND($B10="Gather",$C10=7),MIN(Parameters!$B$10,J9+Parameters!$B$16),J9))))</f>
        <v>61</v>
      </c>
      <c r="K10" s="11" t="n">
        <f aca="false">IF($K9&lt;=0,0,MAX(0,K9-L10*Parameters!$B$6-IF($B10="Gather",Parameters!$B$17,0)))</f>
        <v>100</v>
      </c>
      <c r="L10" s="11" t="n">
        <f aca="false">IF($K9&lt;=0,0,MAX(0,IF($B10="Travel",Parameters!$B$13*7,IF($B10="Work",Parameters!$B$14,0))-(SUM(D9:J9)-SUM(D10:J10))))</f>
        <v>0</v>
      </c>
      <c r="M10" s="11" t="str">
        <f aca="false">IF(K10&lt;=0,"RUN OVER","alive")</f>
        <v>alive</v>
      </c>
      <c r="O10" s="4" t="s">
        <v>113</v>
      </c>
      <c r="P10" s="16" t="n">
        <f aca="false">SUM(L7:L51)</f>
        <v>104</v>
      </c>
    </row>
    <row r="11" customFormat="false" ht="15" hidden="false" customHeight="false" outlineLevel="0" collapsed="false">
      <c r="A11" s="11" t="n">
        <v>5</v>
      </c>
      <c r="B11" s="10" t="s">
        <v>110</v>
      </c>
      <c r="C11" s="10" t="n">
        <v>7</v>
      </c>
      <c r="D11" s="11" t="n">
        <f aca="false">IF($K10&lt;=0,D10,IF($B11="Travel",MAX(0,D10-Parameters!$B$13),IF(AND($B11="Work",$C11=1),MAX(0,D10-Parameters!$B$14),IF(AND($B11="Gather",$C11=1),MIN(Parameters!$B$10,D10+Parameters!$B$16),D10))))</f>
        <v>85</v>
      </c>
      <c r="E11" s="11" t="n">
        <f aca="false">IF($K10&lt;=0,E10,IF($B11="Travel",MAX(0,E10-Parameters!$B$13),IF(AND($B11="Work",$C11=2),MAX(0,E10-Parameters!$B$14),IF(AND($B11="Gather",$C11=2),MIN(Parameters!$B$10,E10+Parameters!$B$16),E10))))</f>
        <v>85</v>
      </c>
      <c r="F11" s="11" t="n">
        <f aca="false">IF($K10&lt;=0,F10,IF($B11="Travel",MAX(0,F10-Parameters!$B$13),IF(AND($B11="Work",$C11=3),MAX(0,F10-Parameters!$B$14),IF(AND($B11="Gather",$C11=3),MIN(Parameters!$B$10,F10+Parameters!$B$16),F10))))</f>
        <v>85</v>
      </c>
      <c r="G11" s="11" t="n">
        <f aca="false">IF($K10&lt;=0,G10,IF($B11="Travel",MAX(0,G10-Parameters!$B$13),IF(AND($B11="Work",$C11=4),MAX(0,G10-Parameters!$B$14),IF(AND($B11="Gather",$C11=4),MIN(Parameters!$B$10,G10+Parameters!$B$16),G10))))</f>
        <v>85</v>
      </c>
      <c r="H11" s="11" t="n">
        <f aca="false">IF($K10&lt;=0,H10,IF($B11="Travel",MAX(0,H10-Parameters!$B$13),IF(AND($B11="Work",$C11=5),MAX(0,H10-Parameters!$B$14),IF(AND($B11="Gather",$C11=5),MIN(Parameters!$B$10,H10+Parameters!$B$16),H10))))</f>
        <v>85</v>
      </c>
      <c r="I11" s="11" t="n">
        <f aca="false">IF($K10&lt;=0,I10,IF($B11="Travel",MAX(0,I10-Parameters!$B$13),IF(AND($B11="Work",$C11=6),MAX(0,I10-Parameters!$B$14),IF(AND($B11="Gather",$C11=6),MIN(Parameters!$B$10,I10+Parameters!$B$16),I10))))</f>
        <v>85</v>
      </c>
      <c r="J11" s="11" t="n">
        <f aca="false">IF($K10&lt;=0,J10,IF($B11="Travel",MAX(0,J10-Parameters!$B$13),IF(AND($B11="Work",$C11=7),MAX(0,J10-Parameters!$B$14),IF(AND($B11="Gather",$C11=7),MIN(Parameters!$B$10,J10+Parameters!$B$16),J10))))</f>
        <v>53</v>
      </c>
      <c r="K11" s="11" t="n">
        <f aca="false">IF($K10&lt;=0,0,MAX(0,K10-L11*Parameters!$B$6-IF($B11="Gather",Parameters!$B$17,0)))</f>
        <v>100</v>
      </c>
      <c r="L11" s="11" t="n">
        <f aca="false">IF($K10&lt;=0,0,MAX(0,IF($B11="Travel",Parameters!$B$13*7,IF($B11="Work",Parameters!$B$14,0))-(SUM(D10:J10)-SUM(D11:J11))))</f>
        <v>0</v>
      </c>
      <c r="M11" s="11" t="str">
        <f aca="false">IF(K11&lt;=0,"RUN OVER","alive")</f>
        <v>alive</v>
      </c>
      <c r="O11" s="4" t="s">
        <v>114</v>
      </c>
      <c r="P11" s="17" t="n">
        <f aca="false">IFERROR(P6*Parameters!$B$20/60,0)</f>
        <v>2.2</v>
      </c>
    </row>
    <row r="12" customFormat="false" ht="15" hidden="false" customHeight="false" outlineLevel="0" collapsed="false">
      <c r="A12" s="11" t="n">
        <v>6</v>
      </c>
      <c r="B12" s="10" t="s">
        <v>110</v>
      </c>
      <c r="C12" s="10" t="n">
        <v>7</v>
      </c>
      <c r="D12" s="11" t="n">
        <f aca="false">IF($K11&lt;=0,D11,IF($B12="Travel",MAX(0,D11-Parameters!$B$13),IF(AND($B12="Work",$C12=1),MAX(0,D11-Parameters!$B$14),IF(AND($B12="Gather",$C12=1),MIN(Parameters!$B$10,D11+Parameters!$B$16),D11))))</f>
        <v>85</v>
      </c>
      <c r="E12" s="11" t="n">
        <f aca="false">IF($K11&lt;=0,E11,IF($B12="Travel",MAX(0,E11-Parameters!$B$13),IF(AND($B12="Work",$C12=2),MAX(0,E11-Parameters!$B$14),IF(AND($B12="Gather",$C12=2),MIN(Parameters!$B$10,E11+Parameters!$B$16),E11))))</f>
        <v>85</v>
      </c>
      <c r="F12" s="11" t="n">
        <f aca="false">IF($K11&lt;=0,F11,IF($B12="Travel",MAX(0,F11-Parameters!$B$13),IF(AND($B12="Work",$C12=3),MAX(0,F11-Parameters!$B$14),IF(AND($B12="Gather",$C12=3),MIN(Parameters!$B$10,F11+Parameters!$B$16),F11))))</f>
        <v>85</v>
      </c>
      <c r="G12" s="11" t="n">
        <f aca="false">IF($K11&lt;=0,G11,IF($B12="Travel",MAX(0,G11-Parameters!$B$13),IF(AND($B12="Work",$C12=4),MAX(0,G11-Parameters!$B$14),IF(AND($B12="Gather",$C12=4),MIN(Parameters!$B$10,G11+Parameters!$B$16),G11))))</f>
        <v>85</v>
      </c>
      <c r="H12" s="11" t="n">
        <f aca="false">IF($K11&lt;=0,H11,IF($B12="Travel",MAX(0,H11-Parameters!$B$13),IF(AND($B12="Work",$C12=5),MAX(0,H11-Parameters!$B$14),IF(AND($B12="Gather",$C12=5),MIN(Parameters!$B$10,H11+Parameters!$B$16),H11))))</f>
        <v>85</v>
      </c>
      <c r="I12" s="11" t="n">
        <f aca="false">IF($K11&lt;=0,I11,IF($B12="Travel",MAX(0,I11-Parameters!$B$13),IF(AND($B12="Work",$C12=6),MAX(0,I11-Parameters!$B$14),IF(AND($B12="Gather",$C12=6),MIN(Parameters!$B$10,I11+Parameters!$B$16),I11))))</f>
        <v>85</v>
      </c>
      <c r="J12" s="11" t="n">
        <f aca="false">IF($K11&lt;=0,J11,IF($B12="Travel",MAX(0,J11-Parameters!$B$13),IF(AND($B12="Work",$C12=7),MAX(0,J11-Parameters!$B$14),IF(AND($B12="Gather",$C12=7),MIN(Parameters!$B$10,J11+Parameters!$B$16),J11))))</f>
        <v>45</v>
      </c>
      <c r="K12" s="11" t="n">
        <f aca="false">IF($K11&lt;=0,0,MAX(0,K11-L12*Parameters!$B$6-IF($B12="Gather",Parameters!$B$17,0)))</f>
        <v>100</v>
      </c>
      <c r="L12" s="11" t="n">
        <f aca="false">IF($K11&lt;=0,0,MAX(0,IF($B12="Travel",Parameters!$B$13*7,IF($B12="Work",Parameters!$B$14,0))-(SUM(D11:J11)-SUM(D12:J12))))</f>
        <v>0</v>
      </c>
      <c r="M12" s="11" t="str">
        <f aca="false">IF(K12&lt;=0,"RUN OVER","alive")</f>
        <v>alive</v>
      </c>
    </row>
    <row r="13" customFormat="false" ht="15" hidden="false" customHeight="false" outlineLevel="0" collapsed="false">
      <c r="A13" s="11" t="n">
        <v>7</v>
      </c>
      <c r="B13" s="10" t="s">
        <v>110</v>
      </c>
      <c r="C13" s="10" t="n">
        <v>7</v>
      </c>
      <c r="D13" s="11" t="n">
        <f aca="false">IF($K12&lt;=0,D12,IF($B13="Travel",MAX(0,D12-Parameters!$B$13),IF(AND($B13="Work",$C13=1),MAX(0,D12-Parameters!$B$14),IF(AND($B13="Gather",$C13=1),MIN(Parameters!$B$10,D12+Parameters!$B$16),D12))))</f>
        <v>85</v>
      </c>
      <c r="E13" s="11" t="n">
        <f aca="false">IF($K12&lt;=0,E12,IF($B13="Travel",MAX(0,E12-Parameters!$B$13),IF(AND($B13="Work",$C13=2),MAX(0,E12-Parameters!$B$14),IF(AND($B13="Gather",$C13=2),MIN(Parameters!$B$10,E12+Parameters!$B$16),E12))))</f>
        <v>85</v>
      </c>
      <c r="F13" s="11" t="n">
        <f aca="false">IF($K12&lt;=0,F12,IF($B13="Travel",MAX(0,F12-Parameters!$B$13),IF(AND($B13="Work",$C13=3),MAX(0,F12-Parameters!$B$14),IF(AND($B13="Gather",$C13=3),MIN(Parameters!$B$10,F12+Parameters!$B$16),F12))))</f>
        <v>85</v>
      </c>
      <c r="G13" s="11" t="n">
        <f aca="false">IF($K12&lt;=0,G12,IF($B13="Travel",MAX(0,G12-Parameters!$B$13),IF(AND($B13="Work",$C13=4),MAX(0,G12-Parameters!$B$14),IF(AND($B13="Gather",$C13=4),MIN(Parameters!$B$10,G12+Parameters!$B$16),G12))))</f>
        <v>85</v>
      </c>
      <c r="H13" s="11" t="n">
        <f aca="false">IF($K12&lt;=0,H12,IF($B13="Travel",MAX(0,H12-Parameters!$B$13),IF(AND($B13="Work",$C13=5),MAX(0,H12-Parameters!$B$14),IF(AND($B13="Gather",$C13=5),MIN(Parameters!$B$10,H12+Parameters!$B$16),H12))))</f>
        <v>85</v>
      </c>
      <c r="I13" s="11" t="n">
        <f aca="false">IF($K12&lt;=0,I12,IF($B13="Travel",MAX(0,I12-Parameters!$B$13),IF(AND($B13="Work",$C13=6),MAX(0,I12-Parameters!$B$14),IF(AND($B13="Gather",$C13=6),MIN(Parameters!$B$10,I12+Parameters!$B$16),I12))))</f>
        <v>85</v>
      </c>
      <c r="J13" s="11" t="n">
        <f aca="false">IF($K12&lt;=0,J12,IF($B13="Travel",MAX(0,J12-Parameters!$B$13),IF(AND($B13="Work",$C13=7),MAX(0,J12-Parameters!$B$14),IF(AND($B13="Gather",$C13=7),MIN(Parameters!$B$10,J12+Parameters!$B$16),J12))))</f>
        <v>37</v>
      </c>
      <c r="K13" s="11" t="n">
        <f aca="false">IF($K12&lt;=0,0,MAX(0,K12-L13*Parameters!$B$6-IF($B13="Gather",Parameters!$B$17,0)))</f>
        <v>100</v>
      </c>
      <c r="L13" s="11" t="n">
        <f aca="false">IF($K12&lt;=0,0,MAX(0,IF($B13="Travel",Parameters!$B$13*7,IF($B13="Work",Parameters!$B$14,0))-(SUM(D12:J12)-SUM(D13:J13))))</f>
        <v>0</v>
      </c>
      <c r="M13" s="11" t="str">
        <f aca="false">IF(K13&lt;=0,"RUN OVER","alive")</f>
        <v>alive</v>
      </c>
      <c r="O13" s="2" t="s">
        <v>115</v>
      </c>
    </row>
    <row r="14" customFormat="false" ht="15" hidden="false" customHeight="false" outlineLevel="0" collapsed="false">
      <c r="A14" s="11" t="n">
        <v>8</v>
      </c>
      <c r="B14" s="10" t="s">
        <v>110</v>
      </c>
      <c r="C14" s="10" t="n">
        <v>7</v>
      </c>
      <c r="D14" s="11" t="n">
        <f aca="false">IF($K13&lt;=0,D13,IF($B14="Travel",MAX(0,D13-Parameters!$B$13),IF(AND($B14="Work",$C14=1),MAX(0,D13-Parameters!$B$14),IF(AND($B14="Gather",$C14=1),MIN(Parameters!$B$10,D13+Parameters!$B$16),D13))))</f>
        <v>85</v>
      </c>
      <c r="E14" s="11" t="n">
        <f aca="false">IF($K13&lt;=0,E13,IF($B14="Travel",MAX(0,E13-Parameters!$B$13),IF(AND($B14="Work",$C14=2),MAX(0,E13-Parameters!$B$14),IF(AND($B14="Gather",$C14=2),MIN(Parameters!$B$10,E13+Parameters!$B$16),E13))))</f>
        <v>85</v>
      </c>
      <c r="F14" s="11" t="n">
        <f aca="false">IF($K13&lt;=0,F13,IF($B14="Travel",MAX(0,F13-Parameters!$B$13),IF(AND($B14="Work",$C14=3),MAX(0,F13-Parameters!$B$14),IF(AND($B14="Gather",$C14=3),MIN(Parameters!$B$10,F13+Parameters!$B$16),F13))))</f>
        <v>85</v>
      </c>
      <c r="G14" s="11" t="n">
        <f aca="false">IF($K13&lt;=0,G13,IF($B14="Travel",MAX(0,G13-Parameters!$B$13),IF(AND($B14="Work",$C14=4),MAX(0,G13-Parameters!$B$14),IF(AND($B14="Gather",$C14=4),MIN(Parameters!$B$10,G13+Parameters!$B$16),G13))))</f>
        <v>85</v>
      </c>
      <c r="H14" s="11" t="n">
        <f aca="false">IF($K13&lt;=0,H13,IF($B14="Travel",MAX(0,H13-Parameters!$B$13),IF(AND($B14="Work",$C14=5),MAX(0,H13-Parameters!$B$14),IF(AND($B14="Gather",$C14=5),MIN(Parameters!$B$10,H13+Parameters!$B$16),H13))))</f>
        <v>85</v>
      </c>
      <c r="I14" s="11" t="n">
        <f aca="false">IF($K13&lt;=0,I13,IF($B14="Travel",MAX(0,I13-Parameters!$B$13),IF(AND($B14="Work",$C14=6),MAX(0,I13-Parameters!$B$14),IF(AND($B14="Gather",$C14=6),MIN(Parameters!$B$10,I13+Parameters!$B$16),I13))))</f>
        <v>85</v>
      </c>
      <c r="J14" s="11" t="n">
        <f aca="false">IF($K13&lt;=0,J13,IF($B14="Travel",MAX(0,J13-Parameters!$B$13),IF(AND($B14="Work",$C14=7),MAX(0,J13-Parameters!$B$14),IF(AND($B14="Gather",$C14=7),MIN(Parameters!$B$10,J13+Parameters!$B$16),J13))))</f>
        <v>29</v>
      </c>
      <c r="K14" s="11" t="n">
        <f aca="false">IF($K13&lt;=0,0,MAX(0,K13-L14*Parameters!$B$6-IF($B14="Gather",Parameters!$B$17,0)))</f>
        <v>100</v>
      </c>
      <c r="L14" s="11" t="n">
        <f aca="false">IF($K13&lt;=0,0,MAX(0,IF($B14="Travel",Parameters!$B$13*7,IF($B14="Work",Parameters!$B$14,0))-(SUM(D13:J13)-SUM(D14:J14))))</f>
        <v>0</v>
      </c>
      <c r="M14" s="11" t="str">
        <f aca="false">IF(K14&lt;=0,"RUN OVER","alive")</f>
        <v>alive</v>
      </c>
      <c r="O14" s="2" t="s">
        <v>116</v>
      </c>
    </row>
    <row r="15" customFormat="false" ht="15" hidden="false" customHeight="false" outlineLevel="0" collapsed="false">
      <c r="A15" s="11" t="n">
        <v>9</v>
      </c>
      <c r="B15" s="10" t="s">
        <v>110</v>
      </c>
      <c r="C15" s="10" t="n">
        <v>7</v>
      </c>
      <c r="D15" s="11" t="n">
        <f aca="false">IF($K14&lt;=0,D14,IF($B15="Travel",MAX(0,D14-Parameters!$B$13),IF(AND($B15="Work",$C15=1),MAX(0,D14-Parameters!$B$14),IF(AND($B15="Gather",$C15=1),MIN(Parameters!$B$10,D14+Parameters!$B$16),D14))))</f>
        <v>85</v>
      </c>
      <c r="E15" s="11" t="n">
        <f aca="false">IF($K14&lt;=0,E14,IF($B15="Travel",MAX(0,E14-Parameters!$B$13),IF(AND($B15="Work",$C15=2),MAX(0,E14-Parameters!$B$14),IF(AND($B15="Gather",$C15=2),MIN(Parameters!$B$10,E14+Parameters!$B$16),E14))))</f>
        <v>85</v>
      </c>
      <c r="F15" s="11" t="n">
        <f aca="false">IF($K14&lt;=0,F14,IF($B15="Travel",MAX(0,F14-Parameters!$B$13),IF(AND($B15="Work",$C15=3),MAX(0,F14-Parameters!$B$14),IF(AND($B15="Gather",$C15=3),MIN(Parameters!$B$10,F14+Parameters!$B$16),F14))))</f>
        <v>85</v>
      </c>
      <c r="G15" s="11" t="n">
        <f aca="false">IF($K14&lt;=0,G14,IF($B15="Travel",MAX(0,G14-Parameters!$B$13),IF(AND($B15="Work",$C15=4),MAX(0,G14-Parameters!$B$14),IF(AND($B15="Gather",$C15=4),MIN(Parameters!$B$10,G14+Parameters!$B$16),G14))))</f>
        <v>85</v>
      </c>
      <c r="H15" s="11" t="n">
        <f aca="false">IF($K14&lt;=0,H14,IF($B15="Travel",MAX(0,H14-Parameters!$B$13),IF(AND($B15="Work",$C15=5),MAX(0,H14-Parameters!$B$14),IF(AND($B15="Gather",$C15=5),MIN(Parameters!$B$10,H14+Parameters!$B$16),H14))))</f>
        <v>85</v>
      </c>
      <c r="I15" s="11" t="n">
        <f aca="false">IF($K14&lt;=0,I14,IF($B15="Travel",MAX(0,I14-Parameters!$B$13),IF(AND($B15="Work",$C15=6),MAX(0,I14-Parameters!$B$14),IF(AND($B15="Gather",$C15=6),MIN(Parameters!$B$10,I14+Parameters!$B$16),I14))))</f>
        <v>85</v>
      </c>
      <c r="J15" s="11" t="n">
        <f aca="false">IF($K14&lt;=0,J14,IF($B15="Travel",MAX(0,J14-Parameters!$B$13),IF(AND($B15="Work",$C15=7),MAX(0,J14-Parameters!$B$14),IF(AND($B15="Gather",$C15=7),MIN(Parameters!$B$10,J14+Parameters!$B$16),J14))))</f>
        <v>21</v>
      </c>
      <c r="K15" s="11" t="n">
        <f aca="false">IF($K14&lt;=0,0,MAX(0,K14-L15*Parameters!$B$6-IF($B15="Gather",Parameters!$B$17,0)))</f>
        <v>100</v>
      </c>
      <c r="L15" s="11" t="n">
        <f aca="false">IF($K14&lt;=0,0,MAX(0,IF($B15="Travel",Parameters!$B$13*7,IF($B15="Work",Parameters!$B$14,0))-(SUM(D14:J14)-SUM(D15:J15))))</f>
        <v>0</v>
      </c>
      <c r="M15" s="11" t="str">
        <f aca="false">IF(K15&lt;=0,"RUN OVER","alive")</f>
        <v>alive</v>
      </c>
    </row>
    <row r="16" customFormat="false" ht="15" hidden="false" customHeight="false" outlineLevel="0" collapsed="false">
      <c r="A16" s="11" t="n">
        <v>10</v>
      </c>
      <c r="B16" s="10" t="s">
        <v>110</v>
      </c>
      <c r="C16" s="10" t="n">
        <v>7</v>
      </c>
      <c r="D16" s="11" t="n">
        <f aca="false">IF($K15&lt;=0,D15,IF($B16="Travel",MAX(0,D15-Parameters!$B$13),IF(AND($B16="Work",$C16=1),MAX(0,D15-Parameters!$B$14),IF(AND($B16="Gather",$C16=1),MIN(Parameters!$B$10,D15+Parameters!$B$16),D15))))</f>
        <v>85</v>
      </c>
      <c r="E16" s="11" t="n">
        <f aca="false">IF($K15&lt;=0,E15,IF($B16="Travel",MAX(0,E15-Parameters!$B$13),IF(AND($B16="Work",$C16=2),MAX(0,E15-Parameters!$B$14),IF(AND($B16="Gather",$C16=2),MIN(Parameters!$B$10,E15+Parameters!$B$16),E15))))</f>
        <v>85</v>
      </c>
      <c r="F16" s="11" t="n">
        <f aca="false">IF($K15&lt;=0,F15,IF($B16="Travel",MAX(0,F15-Parameters!$B$13),IF(AND($B16="Work",$C16=3),MAX(0,F15-Parameters!$B$14),IF(AND($B16="Gather",$C16=3),MIN(Parameters!$B$10,F15+Parameters!$B$16),F15))))</f>
        <v>85</v>
      </c>
      <c r="G16" s="11" t="n">
        <f aca="false">IF($K15&lt;=0,G15,IF($B16="Travel",MAX(0,G15-Parameters!$B$13),IF(AND($B16="Work",$C16=4),MAX(0,G15-Parameters!$B$14),IF(AND($B16="Gather",$C16=4),MIN(Parameters!$B$10,G15+Parameters!$B$16),G15))))</f>
        <v>85</v>
      </c>
      <c r="H16" s="11" t="n">
        <f aca="false">IF($K15&lt;=0,H15,IF($B16="Travel",MAX(0,H15-Parameters!$B$13),IF(AND($B16="Work",$C16=5),MAX(0,H15-Parameters!$B$14),IF(AND($B16="Gather",$C16=5),MIN(Parameters!$B$10,H15+Parameters!$B$16),H15))))</f>
        <v>85</v>
      </c>
      <c r="I16" s="11" t="n">
        <f aca="false">IF($K15&lt;=0,I15,IF($B16="Travel",MAX(0,I15-Parameters!$B$13),IF(AND($B16="Work",$C16=6),MAX(0,I15-Parameters!$B$14),IF(AND($B16="Gather",$C16=6),MIN(Parameters!$B$10,I15+Parameters!$B$16),I15))))</f>
        <v>85</v>
      </c>
      <c r="J16" s="11" t="n">
        <f aca="false">IF($K15&lt;=0,J15,IF($B16="Travel",MAX(0,J15-Parameters!$B$13),IF(AND($B16="Work",$C16=7),MAX(0,J15-Parameters!$B$14),IF(AND($B16="Gather",$C16=7),MIN(Parameters!$B$10,J15+Parameters!$B$16),J15))))</f>
        <v>13</v>
      </c>
      <c r="K16" s="11" t="n">
        <f aca="false">IF($K15&lt;=0,0,MAX(0,K15-L16*Parameters!$B$6-IF($B16="Gather",Parameters!$B$17,0)))</f>
        <v>100</v>
      </c>
      <c r="L16" s="11" t="n">
        <f aca="false">IF($K15&lt;=0,0,MAX(0,IF($B16="Travel",Parameters!$B$13*7,IF($B16="Work",Parameters!$B$14,0))-(SUM(D15:J15)-SUM(D16:J16))))</f>
        <v>0</v>
      </c>
      <c r="M16" s="11" t="str">
        <f aca="false">IF(K16&lt;=0,"RUN OVER","alive")</f>
        <v>alive</v>
      </c>
    </row>
    <row r="17" customFormat="false" ht="15" hidden="false" customHeight="false" outlineLevel="0" collapsed="false">
      <c r="A17" s="11" t="n">
        <v>11</v>
      </c>
      <c r="B17" s="10" t="s">
        <v>110</v>
      </c>
      <c r="C17" s="10" t="n">
        <v>7</v>
      </c>
      <c r="D17" s="11" t="n">
        <f aca="false">IF($K16&lt;=0,D16,IF($B17="Travel",MAX(0,D16-Parameters!$B$13),IF(AND($B17="Work",$C17=1),MAX(0,D16-Parameters!$B$14),IF(AND($B17="Gather",$C17=1),MIN(Parameters!$B$10,D16+Parameters!$B$16),D16))))</f>
        <v>85</v>
      </c>
      <c r="E17" s="11" t="n">
        <f aca="false">IF($K16&lt;=0,E16,IF($B17="Travel",MAX(0,E16-Parameters!$B$13),IF(AND($B17="Work",$C17=2),MAX(0,E16-Parameters!$B$14),IF(AND($B17="Gather",$C17=2),MIN(Parameters!$B$10,E16+Parameters!$B$16),E16))))</f>
        <v>85</v>
      </c>
      <c r="F17" s="11" t="n">
        <f aca="false">IF($K16&lt;=0,F16,IF($B17="Travel",MAX(0,F16-Parameters!$B$13),IF(AND($B17="Work",$C17=3),MAX(0,F16-Parameters!$B$14),IF(AND($B17="Gather",$C17=3),MIN(Parameters!$B$10,F16+Parameters!$B$16),F16))))</f>
        <v>85</v>
      </c>
      <c r="G17" s="11" t="n">
        <f aca="false">IF($K16&lt;=0,G16,IF($B17="Travel",MAX(0,G16-Parameters!$B$13),IF(AND($B17="Work",$C17=4),MAX(0,G16-Parameters!$B$14),IF(AND($B17="Gather",$C17=4),MIN(Parameters!$B$10,G16+Parameters!$B$16),G16))))</f>
        <v>85</v>
      </c>
      <c r="H17" s="11" t="n">
        <f aca="false">IF($K16&lt;=0,H16,IF($B17="Travel",MAX(0,H16-Parameters!$B$13),IF(AND($B17="Work",$C17=5),MAX(0,H16-Parameters!$B$14),IF(AND($B17="Gather",$C17=5),MIN(Parameters!$B$10,H16+Parameters!$B$16),H16))))</f>
        <v>85</v>
      </c>
      <c r="I17" s="11" t="n">
        <f aca="false">IF($K16&lt;=0,I16,IF($B17="Travel",MAX(0,I16-Parameters!$B$13),IF(AND($B17="Work",$C17=6),MAX(0,I16-Parameters!$B$14),IF(AND($B17="Gather",$C17=6),MIN(Parameters!$B$10,I16+Parameters!$B$16),I16))))</f>
        <v>85</v>
      </c>
      <c r="J17" s="11" t="n">
        <f aca="false">IF($K16&lt;=0,J16,IF($B17="Travel",MAX(0,J16-Parameters!$B$13),IF(AND($B17="Work",$C17=7),MAX(0,J16-Parameters!$B$14),IF(AND($B17="Gather",$C17=7),MIN(Parameters!$B$10,J16+Parameters!$B$16),J16))))</f>
        <v>5</v>
      </c>
      <c r="K17" s="11" t="n">
        <f aca="false">IF($K16&lt;=0,0,MAX(0,K16-L17*Parameters!$B$6-IF($B17="Gather",Parameters!$B$17,0)))</f>
        <v>100</v>
      </c>
      <c r="L17" s="11" t="n">
        <f aca="false">IF($K16&lt;=0,0,MAX(0,IF($B17="Travel",Parameters!$B$13*7,IF($B17="Work",Parameters!$B$14,0))-(SUM(D16:J16)-SUM(D17:J17))))</f>
        <v>0</v>
      </c>
      <c r="M17" s="11" t="str">
        <f aca="false">IF(K17&lt;=0,"RUN OVER","alive")</f>
        <v>alive</v>
      </c>
    </row>
    <row r="18" customFormat="false" ht="15" hidden="false" customHeight="false" outlineLevel="0" collapsed="false">
      <c r="A18" s="11" t="n">
        <v>12</v>
      </c>
      <c r="B18" s="10" t="s">
        <v>110</v>
      </c>
      <c r="C18" s="10" t="n">
        <v>7</v>
      </c>
      <c r="D18" s="11" t="n">
        <f aca="false">IF($K17&lt;=0,D17,IF($B18="Travel",MAX(0,D17-Parameters!$B$13),IF(AND($B18="Work",$C18=1),MAX(0,D17-Parameters!$B$14),IF(AND($B18="Gather",$C18=1),MIN(Parameters!$B$10,D17+Parameters!$B$16),D17))))</f>
        <v>85</v>
      </c>
      <c r="E18" s="11" t="n">
        <f aca="false">IF($K17&lt;=0,E17,IF($B18="Travel",MAX(0,E17-Parameters!$B$13),IF(AND($B18="Work",$C18=2),MAX(0,E17-Parameters!$B$14),IF(AND($B18="Gather",$C18=2),MIN(Parameters!$B$10,E17+Parameters!$B$16),E17))))</f>
        <v>85</v>
      </c>
      <c r="F18" s="11" t="n">
        <f aca="false">IF($K17&lt;=0,F17,IF($B18="Travel",MAX(0,F17-Parameters!$B$13),IF(AND($B18="Work",$C18=3),MAX(0,F17-Parameters!$B$14),IF(AND($B18="Gather",$C18=3),MIN(Parameters!$B$10,F17+Parameters!$B$16),F17))))</f>
        <v>85</v>
      </c>
      <c r="G18" s="11" t="n">
        <f aca="false">IF($K17&lt;=0,G17,IF($B18="Travel",MAX(0,G17-Parameters!$B$13),IF(AND($B18="Work",$C18=4),MAX(0,G17-Parameters!$B$14),IF(AND($B18="Gather",$C18=4),MIN(Parameters!$B$10,G17+Parameters!$B$16),G17))))</f>
        <v>85</v>
      </c>
      <c r="H18" s="11" t="n">
        <f aca="false">IF($K17&lt;=0,H17,IF($B18="Travel",MAX(0,H17-Parameters!$B$13),IF(AND($B18="Work",$C18=5),MAX(0,H17-Parameters!$B$14),IF(AND($B18="Gather",$C18=5),MIN(Parameters!$B$10,H17+Parameters!$B$16),H17))))</f>
        <v>85</v>
      </c>
      <c r="I18" s="11" t="n">
        <f aca="false">IF($K17&lt;=0,I17,IF($B18="Travel",MAX(0,I17-Parameters!$B$13),IF(AND($B18="Work",$C18=6),MAX(0,I17-Parameters!$B$14),IF(AND($B18="Gather",$C18=6),MIN(Parameters!$B$10,I17+Parameters!$B$16),I17))))</f>
        <v>85</v>
      </c>
      <c r="J18" s="11" t="n">
        <f aca="false">IF($K17&lt;=0,J17,IF($B18="Travel",MAX(0,J17-Parameters!$B$13),IF(AND($B18="Work",$C18=7),MAX(0,J17-Parameters!$B$14),IF(AND($B18="Gather",$C18=7),MIN(Parameters!$B$10,J17+Parameters!$B$16),J17))))</f>
        <v>0</v>
      </c>
      <c r="K18" s="11" t="n">
        <f aca="false">IF($K17&lt;=0,0,MAX(0,K17-L18*Parameters!$B$6-IF($B18="Gather",Parameters!$B$17,0)))</f>
        <v>97</v>
      </c>
      <c r="L18" s="11" t="n">
        <f aca="false">IF($K17&lt;=0,0,MAX(0,IF($B18="Travel",Parameters!$B$13*7,IF($B18="Work",Parameters!$B$14,0))-(SUM(D17:J17)-SUM(D18:J18))))</f>
        <v>3</v>
      </c>
      <c r="M18" s="11" t="str">
        <f aca="false">IF(K18&lt;=0,"RUN OVER","alive")</f>
        <v>alive</v>
      </c>
    </row>
    <row r="19" customFormat="false" ht="15" hidden="false" customHeight="false" outlineLevel="0" collapsed="false">
      <c r="A19" s="11" t="n">
        <v>13</v>
      </c>
      <c r="B19" s="10" t="s">
        <v>110</v>
      </c>
      <c r="C19" s="10" t="n">
        <v>7</v>
      </c>
      <c r="D19" s="11" t="n">
        <f aca="false">IF($K18&lt;=0,D18,IF($B19="Travel",MAX(0,D18-Parameters!$B$13),IF(AND($B19="Work",$C19=1),MAX(0,D18-Parameters!$B$14),IF(AND($B19="Gather",$C19=1),MIN(Parameters!$B$10,D18+Parameters!$B$16),D18))))</f>
        <v>85</v>
      </c>
      <c r="E19" s="11" t="n">
        <f aca="false">IF($K18&lt;=0,E18,IF($B19="Travel",MAX(0,E18-Parameters!$B$13),IF(AND($B19="Work",$C19=2),MAX(0,E18-Parameters!$B$14),IF(AND($B19="Gather",$C19=2),MIN(Parameters!$B$10,E18+Parameters!$B$16),E18))))</f>
        <v>85</v>
      </c>
      <c r="F19" s="11" t="n">
        <f aca="false">IF($K18&lt;=0,F18,IF($B19="Travel",MAX(0,F18-Parameters!$B$13),IF(AND($B19="Work",$C19=3),MAX(0,F18-Parameters!$B$14),IF(AND($B19="Gather",$C19=3),MIN(Parameters!$B$10,F18+Parameters!$B$16),F18))))</f>
        <v>85</v>
      </c>
      <c r="G19" s="11" t="n">
        <f aca="false">IF($K18&lt;=0,G18,IF($B19="Travel",MAX(0,G18-Parameters!$B$13),IF(AND($B19="Work",$C19=4),MAX(0,G18-Parameters!$B$14),IF(AND($B19="Gather",$C19=4),MIN(Parameters!$B$10,G18+Parameters!$B$16),G18))))</f>
        <v>85</v>
      </c>
      <c r="H19" s="11" t="n">
        <f aca="false">IF($K18&lt;=0,H18,IF($B19="Travel",MAX(0,H18-Parameters!$B$13),IF(AND($B19="Work",$C19=5),MAX(0,H18-Parameters!$B$14),IF(AND($B19="Gather",$C19=5),MIN(Parameters!$B$10,H18+Parameters!$B$16),H18))))</f>
        <v>85</v>
      </c>
      <c r="I19" s="11" t="n">
        <f aca="false">IF($K18&lt;=0,I18,IF($B19="Travel",MAX(0,I18-Parameters!$B$13),IF(AND($B19="Work",$C19=6),MAX(0,I18-Parameters!$B$14),IF(AND($B19="Gather",$C19=6),MIN(Parameters!$B$10,I18+Parameters!$B$16),I18))))</f>
        <v>85</v>
      </c>
      <c r="J19" s="11" t="n">
        <f aca="false">IF($K18&lt;=0,J18,IF($B19="Travel",MAX(0,J18-Parameters!$B$13),IF(AND($B19="Work",$C19=7),MAX(0,J18-Parameters!$B$14),IF(AND($B19="Gather",$C19=7),MIN(Parameters!$B$10,J18+Parameters!$B$16),J18))))</f>
        <v>0</v>
      </c>
      <c r="K19" s="11" t="n">
        <f aca="false">IF($K18&lt;=0,0,MAX(0,K18-L19*Parameters!$B$6-IF($B19="Gather",Parameters!$B$17,0)))</f>
        <v>89</v>
      </c>
      <c r="L19" s="11" t="n">
        <f aca="false">IF($K18&lt;=0,0,MAX(0,IF($B19="Travel",Parameters!$B$13*7,IF($B19="Work",Parameters!$B$14,0))-(SUM(D18:J18)-SUM(D19:J19))))</f>
        <v>8</v>
      </c>
      <c r="M19" s="11" t="str">
        <f aca="false">IF(K19&lt;=0,"RUN OVER","alive")</f>
        <v>alive</v>
      </c>
    </row>
    <row r="20" customFormat="false" ht="15" hidden="false" customHeight="false" outlineLevel="0" collapsed="false">
      <c r="A20" s="11" t="n">
        <v>14</v>
      </c>
      <c r="B20" s="10" t="s">
        <v>117</v>
      </c>
      <c r="C20" s="10" t="n">
        <v>7</v>
      </c>
      <c r="D20" s="11" t="n">
        <f aca="false">IF($K19&lt;=0,D19,IF($B20="Travel",MAX(0,D19-Parameters!$B$13),IF(AND($B20="Work",$C20=1),MAX(0,D19-Parameters!$B$14),IF(AND($B20="Gather",$C20=1),MIN(Parameters!$B$10,D19+Parameters!$B$16),D19))))</f>
        <v>85</v>
      </c>
      <c r="E20" s="11" t="n">
        <f aca="false">IF($K19&lt;=0,E19,IF($B20="Travel",MAX(0,E19-Parameters!$B$13),IF(AND($B20="Work",$C20=2),MAX(0,E19-Parameters!$B$14),IF(AND($B20="Gather",$C20=2),MIN(Parameters!$B$10,E19+Parameters!$B$16),E19))))</f>
        <v>85</v>
      </c>
      <c r="F20" s="11" t="n">
        <f aca="false">IF($K19&lt;=0,F19,IF($B20="Travel",MAX(0,F19-Parameters!$B$13),IF(AND($B20="Work",$C20=3),MAX(0,F19-Parameters!$B$14),IF(AND($B20="Gather",$C20=3),MIN(Parameters!$B$10,F19+Parameters!$B$16),F19))))</f>
        <v>85</v>
      </c>
      <c r="G20" s="11" t="n">
        <f aca="false">IF($K19&lt;=0,G19,IF($B20="Travel",MAX(0,G19-Parameters!$B$13),IF(AND($B20="Work",$C20=4),MAX(0,G19-Parameters!$B$14),IF(AND($B20="Gather",$C20=4),MIN(Parameters!$B$10,G19+Parameters!$B$16),G19))))</f>
        <v>85</v>
      </c>
      <c r="H20" s="11" t="n">
        <f aca="false">IF($K19&lt;=0,H19,IF($B20="Travel",MAX(0,H19-Parameters!$B$13),IF(AND($B20="Work",$C20=5),MAX(0,H19-Parameters!$B$14),IF(AND($B20="Gather",$C20=5),MIN(Parameters!$B$10,H19+Parameters!$B$16),H19))))</f>
        <v>85</v>
      </c>
      <c r="I20" s="11" t="n">
        <f aca="false">IF($K19&lt;=0,I19,IF($B20="Travel",MAX(0,I19-Parameters!$B$13),IF(AND($B20="Work",$C20=6),MAX(0,I19-Parameters!$B$14),IF(AND($B20="Gather",$C20=6),MIN(Parameters!$B$10,I19+Parameters!$B$16),I19))))</f>
        <v>85</v>
      </c>
      <c r="J20" s="11" t="n">
        <f aca="false">IF($K19&lt;=0,J19,IF($B20="Travel",MAX(0,J19-Parameters!$B$13),IF(AND($B20="Work",$C20=7),MAX(0,J19-Parameters!$B$14),IF(AND($B20="Gather",$C20=7),MIN(Parameters!$B$10,J19+Parameters!$B$16),J19))))</f>
        <v>20</v>
      </c>
      <c r="K20" s="11" t="n">
        <f aca="false">IF($K19&lt;=0,0,MAX(0,K19-L20*Parameters!$B$6-IF($B20="Gather",Parameters!$B$17,0)))</f>
        <v>67</v>
      </c>
      <c r="L20" s="11" t="n">
        <f aca="false">IF($K19&lt;=0,0,MAX(0,IF($B20="Travel",Parameters!$B$13*7,IF($B20="Work",Parameters!$B$14,0))-(SUM(D19:J19)-SUM(D20:J20))))</f>
        <v>20</v>
      </c>
      <c r="M20" s="11" t="str">
        <f aca="false">IF(K20&lt;=0,"RUN OVER","alive")</f>
        <v>alive</v>
      </c>
    </row>
    <row r="21" customFormat="false" ht="15" hidden="false" customHeight="false" outlineLevel="0" collapsed="false">
      <c r="A21" s="11" t="n">
        <v>15</v>
      </c>
      <c r="B21" s="10" t="s">
        <v>117</v>
      </c>
      <c r="C21" s="10" t="n">
        <v>7</v>
      </c>
      <c r="D21" s="11" t="n">
        <f aca="false">IF($K20&lt;=0,D20,IF($B21="Travel",MAX(0,D20-Parameters!$B$13),IF(AND($B21="Work",$C21=1),MAX(0,D20-Parameters!$B$14),IF(AND($B21="Gather",$C21=1),MIN(Parameters!$B$10,D20+Parameters!$B$16),D20))))</f>
        <v>85</v>
      </c>
      <c r="E21" s="11" t="n">
        <f aca="false">IF($K20&lt;=0,E20,IF($B21="Travel",MAX(0,E20-Parameters!$B$13),IF(AND($B21="Work",$C21=2),MAX(0,E20-Parameters!$B$14),IF(AND($B21="Gather",$C21=2),MIN(Parameters!$B$10,E20+Parameters!$B$16),E20))))</f>
        <v>85</v>
      </c>
      <c r="F21" s="11" t="n">
        <f aca="false">IF($K20&lt;=0,F20,IF($B21="Travel",MAX(0,F20-Parameters!$B$13),IF(AND($B21="Work",$C21=3),MAX(0,F20-Parameters!$B$14),IF(AND($B21="Gather",$C21=3),MIN(Parameters!$B$10,F20+Parameters!$B$16),F20))))</f>
        <v>85</v>
      </c>
      <c r="G21" s="11" t="n">
        <f aca="false">IF($K20&lt;=0,G20,IF($B21="Travel",MAX(0,G20-Parameters!$B$13),IF(AND($B21="Work",$C21=4),MAX(0,G20-Parameters!$B$14),IF(AND($B21="Gather",$C21=4),MIN(Parameters!$B$10,G20+Parameters!$B$16),G20))))</f>
        <v>85</v>
      </c>
      <c r="H21" s="11" t="n">
        <f aca="false">IF($K20&lt;=0,H20,IF($B21="Travel",MAX(0,H20-Parameters!$B$13),IF(AND($B21="Work",$C21=5),MAX(0,H20-Parameters!$B$14),IF(AND($B21="Gather",$C21=5),MIN(Parameters!$B$10,H20+Parameters!$B$16),H20))))</f>
        <v>85</v>
      </c>
      <c r="I21" s="11" t="n">
        <f aca="false">IF($K20&lt;=0,I20,IF($B21="Travel",MAX(0,I20-Parameters!$B$13),IF(AND($B21="Work",$C21=6),MAX(0,I20-Parameters!$B$14),IF(AND($B21="Gather",$C21=6),MIN(Parameters!$B$10,I20+Parameters!$B$16),I20))))</f>
        <v>85</v>
      </c>
      <c r="J21" s="11" t="n">
        <f aca="false">IF($K20&lt;=0,J20,IF($B21="Travel",MAX(0,J20-Parameters!$B$13),IF(AND($B21="Work",$C21=7),MAX(0,J20-Parameters!$B$14),IF(AND($B21="Gather",$C21=7),MIN(Parameters!$B$10,J20+Parameters!$B$16),J20))))</f>
        <v>40</v>
      </c>
      <c r="K21" s="11" t="n">
        <f aca="false">IF($K20&lt;=0,0,MAX(0,K20-L21*Parameters!$B$6-IF($B21="Gather",Parameters!$B$17,0)))</f>
        <v>45</v>
      </c>
      <c r="L21" s="11" t="n">
        <f aca="false">IF($K20&lt;=0,0,MAX(0,IF($B21="Travel",Parameters!$B$13*7,IF($B21="Work",Parameters!$B$14,0))-(SUM(D20:J20)-SUM(D21:J21))))</f>
        <v>20</v>
      </c>
      <c r="M21" s="11" t="str">
        <f aca="false">IF(K21&lt;=0,"RUN OVER","alive")</f>
        <v>alive</v>
      </c>
    </row>
    <row r="22" customFormat="false" ht="15" hidden="false" customHeight="false" outlineLevel="0" collapsed="false">
      <c r="A22" s="11" t="n">
        <v>16</v>
      </c>
      <c r="B22" s="10" t="s">
        <v>108</v>
      </c>
      <c r="C22" s="10"/>
      <c r="D22" s="11" t="n">
        <f aca="false">IF($K21&lt;=0,D21,IF($B22="Travel",MAX(0,D21-Parameters!$B$13),IF(AND($B22="Work",$C22=1),MAX(0,D21-Parameters!$B$14),IF(AND($B22="Gather",$C22=1),MIN(Parameters!$B$10,D21+Parameters!$B$16),D21))))</f>
        <v>70</v>
      </c>
      <c r="E22" s="11" t="n">
        <f aca="false">IF($K21&lt;=0,E21,IF($B22="Travel",MAX(0,E21-Parameters!$B$13),IF(AND($B22="Work",$C22=2),MAX(0,E21-Parameters!$B$14),IF(AND($B22="Gather",$C22=2),MIN(Parameters!$B$10,E21+Parameters!$B$16),E21))))</f>
        <v>70</v>
      </c>
      <c r="F22" s="11" t="n">
        <f aca="false">IF($K21&lt;=0,F21,IF($B22="Travel",MAX(0,F21-Parameters!$B$13),IF(AND($B22="Work",$C22=3),MAX(0,F21-Parameters!$B$14),IF(AND($B22="Gather",$C22=3),MIN(Parameters!$B$10,F21+Parameters!$B$16),F21))))</f>
        <v>70</v>
      </c>
      <c r="G22" s="11" t="n">
        <f aca="false">IF($K21&lt;=0,G21,IF($B22="Travel",MAX(0,G21-Parameters!$B$13),IF(AND($B22="Work",$C22=4),MAX(0,G21-Parameters!$B$14),IF(AND($B22="Gather",$C22=4),MIN(Parameters!$B$10,G21+Parameters!$B$16),G21))))</f>
        <v>70</v>
      </c>
      <c r="H22" s="11" t="n">
        <f aca="false">IF($K21&lt;=0,H21,IF($B22="Travel",MAX(0,H21-Parameters!$B$13),IF(AND($B22="Work",$C22=5),MAX(0,H21-Parameters!$B$14),IF(AND($B22="Gather",$C22=5),MIN(Parameters!$B$10,H21+Parameters!$B$16),H21))))</f>
        <v>70</v>
      </c>
      <c r="I22" s="11" t="n">
        <f aca="false">IF($K21&lt;=0,I21,IF($B22="Travel",MAX(0,I21-Parameters!$B$13),IF(AND($B22="Work",$C22=6),MAX(0,I21-Parameters!$B$14),IF(AND($B22="Gather",$C22=6),MIN(Parameters!$B$10,I21+Parameters!$B$16),I21))))</f>
        <v>70</v>
      </c>
      <c r="J22" s="11" t="n">
        <f aca="false">IF($K21&lt;=0,J21,IF($B22="Travel",MAX(0,J21-Parameters!$B$13),IF(AND($B22="Work",$C22=7),MAX(0,J21-Parameters!$B$14),IF(AND($B22="Gather",$C22=7),MIN(Parameters!$B$10,J21+Parameters!$B$16),J21))))</f>
        <v>25</v>
      </c>
      <c r="K22" s="11" t="n">
        <f aca="false">IF($K21&lt;=0,0,MAX(0,K21-L22*Parameters!$B$6-IF($B22="Gather",Parameters!$B$17,0)))</f>
        <v>45</v>
      </c>
      <c r="L22" s="11" t="n">
        <f aca="false">IF($K21&lt;=0,0,MAX(0,IF($B22="Travel",Parameters!$B$13*7,IF($B22="Work",Parameters!$B$14,0))-(SUM(D21:J21)-SUM(D22:J22))))</f>
        <v>0</v>
      </c>
      <c r="M22" s="11" t="str">
        <f aca="false">IF(K22&lt;=0,"RUN OVER","alive")</f>
        <v>alive</v>
      </c>
    </row>
    <row r="23" customFormat="false" ht="15" hidden="false" customHeight="false" outlineLevel="0" collapsed="false">
      <c r="A23" s="11" t="n">
        <v>17</v>
      </c>
      <c r="B23" s="10" t="s">
        <v>110</v>
      </c>
      <c r="C23" s="10" t="n">
        <v>1</v>
      </c>
      <c r="D23" s="11" t="n">
        <f aca="false">IF($K22&lt;=0,D22,IF($B23="Travel",MAX(0,D22-Parameters!$B$13),IF(AND($B23="Work",$C23=1),MAX(0,D22-Parameters!$B$14),IF(AND($B23="Gather",$C23=1),MIN(Parameters!$B$10,D22+Parameters!$B$16),D22))))</f>
        <v>62</v>
      </c>
      <c r="E23" s="11" t="n">
        <f aca="false">IF($K22&lt;=0,E22,IF($B23="Travel",MAX(0,E22-Parameters!$B$13),IF(AND($B23="Work",$C23=2),MAX(0,E22-Parameters!$B$14),IF(AND($B23="Gather",$C23=2),MIN(Parameters!$B$10,E22+Parameters!$B$16),E22))))</f>
        <v>70</v>
      </c>
      <c r="F23" s="11" t="n">
        <f aca="false">IF($K22&lt;=0,F22,IF($B23="Travel",MAX(0,F22-Parameters!$B$13),IF(AND($B23="Work",$C23=3),MAX(0,F22-Parameters!$B$14),IF(AND($B23="Gather",$C23=3),MIN(Parameters!$B$10,F22+Parameters!$B$16),F22))))</f>
        <v>70</v>
      </c>
      <c r="G23" s="11" t="n">
        <f aca="false">IF($K22&lt;=0,G22,IF($B23="Travel",MAX(0,G22-Parameters!$B$13),IF(AND($B23="Work",$C23=4),MAX(0,G22-Parameters!$B$14),IF(AND($B23="Gather",$C23=4),MIN(Parameters!$B$10,G22+Parameters!$B$16),G22))))</f>
        <v>70</v>
      </c>
      <c r="H23" s="11" t="n">
        <f aca="false">IF($K22&lt;=0,H22,IF($B23="Travel",MAX(0,H22-Parameters!$B$13),IF(AND($B23="Work",$C23=5),MAX(0,H22-Parameters!$B$14),IF(AND($B23="Gather",$C23=5),MIN(Parameters!$B$10,H22+Parameters!$B$16),H22))))</f>
        <v>70</v>
      </c>
      <c r="I23" s="11" t="n">
        <f aca="false">IF($K22&lt;=0,I22,IF($B23="Travel",MAX(0,I22-Parameters!$B$13),IF(AND($B23="Work",$C23=6),MAX(0,I22-Parameters!$B$14),IF(AND($B23="Gather",$C23=6),MIN(Parameters!$B$10,I22+Parameters!$B$16),I22))))</f>
        <v>70</v>
      </c>
      <c r="J23" s="11" t="n">
        <f aca="false">IF($K22&lt;=0,J22,IF($B23="Travel",MAX(0,J22-Parameters!$B$13),IF(AND($B23="Work",$C23=7),MAX(0,J22-Parameters!$B$14),IF(AND($B23="Gather",$C23=7),MIN(Parameters!$B$10,J22+Parameters!$B$16),J22))))</f>
        <v>25</v>
      </c>
      <c r="K23" s="11" t="n">
        <f aca="false">IF($K22&lt;=0,0,MAX(0,K22-L23*Parameters!$B$6-IF($B23="Gather",Parameters!$B$17,0)))</f>
        <v>45</v>
      </c>
      <c r="L23" s="11" t="n">
        <f aca="false">IF($K22&lt;=0,0,MAX(0,IF($B23="Travel",Parameters!$B$13*7,IF($B23="Work",Parameters!$B$14,0))-(SUM(D22:J22)-SUM(D23:J23))))</f>
        <v>0</v>
      </c>
      <c r="M23" s="11" t="str">
        <f aca="false">IF(K23&lt;=0,"RUN OVER","alive")</f>
        <v>alive</v>
      </c>
    </row>
    <row r="24" customFormat="false" ht="15" hidden="false" customHeight="false" outlineLevel="0" collapsed="false">
      <c r="A24" s="11" t="n">
        <v>18</v>
      </c>
      <c r="B24" s="10" t="s">
        <v>110</v>
      </c>
      <c r="C24" s="10" t="n">
        <v>1</v>
      </c>
      <c r="D24" s="11" t="n">
        <f aca="false">IF($K23&lt;=0,D23,IF($B24="Travel",MAX(0,D23-Parameters!$B$13),IF(AND($B24="Work",$C24=1),MAX(0,D23-Parameters!$B$14),IF(AND($B24="Gather",$C24=1),MIN(Parameters!$B$10,D23+Parameters!$B$16),D23))))</f>
        <v>54</v>
      </c>
      <c r="E24" s="11" t="n">
        <f aca="false">IF($K23&lt;=0,E23,IF($B24="Travel",MAX(0,E23-Parameters!$B$13),IF(AND($B24="Work",$C24=2),MAX(0,E23-Parameters!$B$14),IF(AND($B24="Gather",$C24=2),MIN(Parameters!$B$10,E23+Parameters!$B$16),E23))))</f>
        <v>70</v>
      </c>
      <c r="F24" s="11" t="n">
        <f aca="false">IF($K23&lt;=0,F23,IF($B24="Travel",MAX(0,F23-Parameters!$B$13),IF(AND($B24="Work",$C24=3),MAX(0,F23-Parameters!$B$14),IF(AND($B24="Gather",$C24=3),MIN(Parameters!$B$10,F23+Parameters!$B$16),F23))))</f>
        <v>70</v>
      </c>
      <c r="G24" s="11" t="n">
        <f aca="false">IF($K23&lt;=0,G23,IF($B24="Travel",MAX(0,G23-Parameters!$B$13),IF(AND($B24="Work",$C24=4),MAX(0,G23-Parameters!$B$14),IF(AND($B24="Gather",$C24=4),MIN(Parameters!$B$10,G23+Parameters!$B$16),G23))))</f>
        <v>70</v>
      </c>
      <c r="H24" s="11" t="n">
        <f aca="false">IF($K23&lt;=0,H23,IF($B24="Travel",MAX(0,H23-Parameters!$B$13),IF(AND($B24="Work",$C24=5),MAX(0,H23-Parameters!$B$14),IF(AND($B24="Gather",$C24=5),MIN(Parameters!$B$10,H23+Parameters!$B$16),H23))))</f>
        <v>70</v>
      </c>
      <c r="I24" s="11" t="n">
        <f aca="false">IF($K23&lt;=0,I23,IF($B24="Travel",MAX(0,I23-Parameters!$B$13),IF(AND($B24="Work",$C24=6),MAX(0,I23-Parameters!$B$14),IF(AND($B24="Gather",$C24=6),MIN(Parameters!$B$10,I23+Parameters!$B$16),I23))))</f>
        <v>70</v>
      </c>
      <c r="J24" s="11" t="n">
        <f aca="false">IF($K23&lt;=0,J23,IF($B24="Travel",MAX(0,J23-Parameters!$B$13),IF(AND($B24="Work",$C24=7),MAX(0,J23-Parameters!$B$14),IF(AND($B24="Gather",$C24=7),MIN(Parameters!$B$10,J23+Parameters!$B$16),J23))))</f>
        <v>25</v>
      </c>
      <c r="K24" s="11" t="n">
        <f aca="false">IF($K23&lt;=0,0,MAX(0,K23-L24*Parameters!$B$6-IF($B24="Gather",Parameters!$B$17,0)))</f>
        <v>45</v>
      </c>
      <c r="L24" s="11" t="n">
        <f aca="false">IF($K23&lt;=0,0,MAX(0,IF($B24="Travel",Parameters!$B$13*7,IF($B24="Work",Parameters!$B$14,0))-(SUM(D23:J23)-SUM(D24:J24))))</f>
        <v>0</v>
      </c>
      <c r="M24" s="11" t="str">
        <f aca="false">IF(K24&lt;=0,"RUN OVER","alive")</f>
        <v>alive</v>
      </c>
    </row>
    <row r="25" customFormat="false" ht="15" hidden="false" customHeight="false" outlineLevel="0" collapsed="false">
      <c r="A25" s="11" t="n">
        <v>19</v>
      </c>
      <c r="B25" s="10" t="s">
        <v>110</v>
      </c>
      <c r="C25" s="10" t="n">
        <v>1</v>
      </c>
      <c r="D25" s="11" t="n">
        <f aca="false">IF($K24&lt;=0,D24,IF($B25="Travel",MAX(0,D24-Parameters!$B$13),IF(AND($B25="Work",$C25=1),MAX(0,D24-Parameters!$B$14),IF(AND($B25="Gather",$C25=1),MIN(Parameters!$B$10,D24+Parameters!$B$16),D24))))</f>
        <v>46</v>
      </c>
      <c r="E25" s="11" t="n">
        <f aca="false">IF($K24&lt;=0,E24,IF($B25="Travel",MAX(0,E24-Parameters!$B$13),IF(AND($B25="Work",$C25=2),MAX(0,E24-Parameters!$B$14),IF(AND($B25="Gather",$C25=2),MIN(Parameters!$B$10,E24+Parameters!$B$16),E24))))</f>
        <v>70</v>
      </c>
      <c r="F25" s="11" t="n">
        <f aca="false">IF($K24&lt;=0,F24,IF($B25="Travel",MAX(0,F24-Parameters!$B$13),IF(AND($B25="Work",$C25=3),MAX(0,F24-Parameters!$B$14),IF(AND($B25="Gather",$C25=3),MIN(Parameters!$B$10,F24+Parameters!$B$16),F24))))</f>
        <v>70</v>
      </c>
      <c r="G25" s="11" t="n">
        <f aca="false">IF($K24&lt;=0,G24,IF($B25="Travel",MAX(0,G24-Parameters!$B$13),IF(AND($B25="Work",$C25=4),MAX(0,G24-Parameters!$B$14),IF(AND($B25="Gather",$C25=4),MIN(Parameters!$B$10,G24+Parameters!$B$16),G24))))</f>
        <v>70</v>
      </c>
      <c r="H25" s="11" t="n">
        <f aca="false">IF($K24&lt;=0,H24,IF($B25="Travel",MAX(0,H24-Parameters!$B$13),IF(AND($B25="Work",$C25=5),MAX(0,H24-Parameters!$B$14),IF(AND($B25="Gather",$C25=5),MIN(Parameters!$B$10,H24+Parameters!$B$16),H24))))</f>
        <v>70</v>
      </c>
      <c r="I25" s="11" t="n">
        <f aca="false">IF($K24&lt;=0,I24,IF($B25="Travel",MAX(0,I24-Parameters!$B$13),IF(AND($B25="Work",$C25=6),MAX(0,I24-Parameters!$B$14),IF(AND($B25="Gather",$C25=6),MIN(Parameters!$B$10,I24+Parameters!$B$16),I24))))</f>
        <v>70</v>
      </c>
      <c r="J25" s="11" t="n">
        <f aca="false">IF($K24&lt;=0,J24,IF($B25="Travel",MAX(0,J24-Parameters!$B$13),IF(AND($B25="Work",$C25=7),MAX(0,J24-Parameters!$B$14),IF(AND($B25="Gather",$C25=7),MIN(Parameters!$B$10,J24+Parameters!$B$16),J24))))</f>
        <v>25</v>
      </c>
      <c r="K25" s="11" t="n">
        <f aca="false">IF($K24&lt;=0,0,MAX(0,K24-L25*Parameters!$B$6-IF($B25="Gather",Parameters!$B$17,0)))</f>
        <v>45</v>
      </c>
      <c r="L25" s="11" t="n">
        <f aca="false">IF($K24&lt;=0,0,MAX(0,IF($B25="Travel",Parameters!$B$13*7,IF($B25="Work",Parameters!$B$14,0))-(SUM(D24:J24)-SUM(D25:J25))))</f>
        <v>0</v>
      </c>
      <c r="M25" s="11" t="str">
        <f aca="false">IF(K25&lt;=0,"RUN OVER","alive")</f>
        <v>alive</v>
      </c>
    </row>
    <row r="26" customFormat="false" ht="15" hidden="false" customHeight="false" outlineLevel="0" collapsed="false">
      <c r="A26" s="11" t="n">
        <v>20</v>
      </c>
      <c r="B26" s="10" t="s">
        <v>110</v>
      </c>
      <c r="C26" s="10" t="n">
        <v>1</v>
      </c>
      <c r="D26" s="11" t="n">
        <f aca="false">IF($K25&lt;=0,D25,IF($B26="Travel",MAX(0,D25-Parameters!$B$13),IF(AND($B26="Work",$C26=1),MAX(0,D25-Parameters!$B$14),IF(AND($B26="Gather",$C26=1),MIN(Parameters!$B$10,D25+Parameters!$B$16),D25))))</f>
        <v>38</v>
      </c>
      <c r="E26" s="11" t="n">
        <f aca="false">IF($K25&lt;=0,E25,IF($B26="Travel",MAX(0,E25-Parameters!$B$13),IF(AND($B26="Work",$C26=2),MAX(0,E25-Parameters!$B$14),IF(AND($B26="Gather",$C26=2),MIN(Parameters!$B$10,E25+Parameters!$B$16),E25))))</f>
        <v>70</v>
      </c>
      <c r="F26" s="11" t="n">
        <f aca="false">IF($K25&lt;=0,F25,IF($B26="Travel",MAX(0,F25-Parameters!$B$13),IF(AND($B26="Work",$C26=3),MAX(0,F25-Parameters!$B$14),IF(AND($B26="Gather",$C26=3),MIN(Parameters!$B$10,F25+Parameters!$B$16),F25))))</f>
        <v>70</v>
      </c>
      <c r="G26" s="11" t="n">
        <f aca="false">IF($K25&lt;=0,G25,IF($B26="Travel",MAX(0,G25-Parameters!$B$13),IF(AND($B26="Work",$C26=4),MAX(0,G25-Parameters!$B$14),IF(AND($B26="Gather",$C26=4),MIN(Parameters!$B$10,G25+Parameters!$B$16),G25))))</f>
        <v>70</v>
      </c>
      <c r="H26" s="11" t="n">
        <f aca="false">IF($K25&lt;=0,H25,IF($B26="Travel",MAX(0,H25-Parameters!$B$13),IF(AND($B26="Work",$C26=5),MAX(0,H25-Parameters!$B$14),IF(AND($B26="Gather",$C26=5),MIN(Parameters!$B$10,H25+Parameters!$B$16),H25))))</f>
        <v>70</v>
      </c>
      <c r="I26" s="11" t="n">
        <f aca="false">IF($K25&lt;=0,I25,IF($B26="Travel",MAX(0,I25-Parameters!$B$13),IF(AND($B26="Work",$C26=6),MAX(0,I25-Parameters!$B$14),IF(AND($B26="Gather",$C26=6),MIN(Parameters!$B$10,I25+Parameters!$B$16),I25))))</f>
        <v>70</v>
      </c>
      <c r="J26" s="11" t="n">
        <f aca="false">IF($K25&lt;=0,J25,IF($B26="Travel",MAX(0,J25-Parameters!$B$13),IF(AND($B26="Work",$C26=7),MAX(0,J25-Parameters!$B$14),IF(AND($B26="Gather",$C26=7),MIN(Parameters!$B$10,J25+Parameters!$B$16),J25))))</f>
        <v>25</v>
      </c>
      <c r="K26" s="11" t="n">
        <f aca="false">IF($K25&lt;=0,0,MAX(0,K25-L26*Parameters!$B$6-IF($B26="Gather",Parameters!$B$17,0)))</f>
        <v>45</v>
      </c>
      <c r="L26" s="11" t="n">
        <f aca="false">IF($K25&lt;=0,0,MAX(0,IF($B26="Travel",Parameters!$B$13*7,IF($B26="Work",Parameters!$B$14,0))-(SUM(D25:J25)-SUM(D26:J26))))</f>
        <v>0</v>
      </c>
      <c r="M26" s="11" t="str">
        <f aca="false">IF(K26&lt;=0,"RUN OVER","alive")</f>
        <v>alive</v>
      </c>
    </row>
    <row r="27" customFormat="false" ht="15" hidden="false" customHeight="false" outlineLevel="0" collapsed="false">
      <c r="A27" s="11" t="n">
        <v>21</v>
      </c>
      <c r="B27" s="10" t="s">
        <v>110</v>
      </c>
      <c r="C27" s="10" t="n">
        <v>1</v>
      </c>
      <c r="D27" s="11" t="n">
        <f aca="false">IF($K26&lt;=0,D26,IF($B27="Travel",MAX(0,D26-Parameters!$B$13),IF(AND($B27="Work",$C27=1),MAX(0,D26-Parameters!$B$14),IF(AND($B27="Gather",$C27=1),MIN(Parameters!$B$10,D26+Parameters!$B$16),D26))))</f>
        <v>30</v>
      </c>
      <c r="E27" s="11" t="n">
        <f aca="false">IF($K26&lt;=0,E26,IF($B27="Travel",MAX(0,E26-Parameters!$B$13),IF(AND($B27="Work",$C27=2),MAX(0,E26-Parameters!$B$14),IF(AND($B27="Gather",$C27=2),MIN(Parameters!$B$10,E26+Parameters!$B$16),E26))))</f>
        <v>70</v>
      </c>
      <c r="F27" s="11" t="n">
        <f aca="false">IF($K26&lt;=0,F26,IF($B27="Travel",MAX(0,F26-Parameters!$B$13),IF(AND($B27="Work",$C27=3),MAX(0,F26-Parameters!$B$14),IF(AND($B27="Gather",$C27=3),MIN(Parameters!$B$10,F26+Parameters!$B$16),F26))))</f>
        <v>70</v>
      </c>
      <c r="G27" s="11" t="n">
        <f aca="false">IF($K26&lt;=0,G26,IF($B27="Travel",MAX(0,G26-Parameters!$B$13),IF(AND($B27="Work",$C27=4),MAX(0,G26-Parameters!$B$14),IF(AND($B27="Gather",$C27=4),MIN(Parameters!$B$10,G26+Parameters!$B$16),G26))))</f>
        <v>70</v>
      </c>
      <c r="H27" s="11" t="n">
        <f aca="false">IF($K26&lt;=0,H26,IF($B27="Travel",MAX(0,H26-Parameters!$B$13),IF(AND($B27="Work",$C27=5),MAX(0,H26-Parameters!$B$14),IF(AND($B27="Gather",$C27=5),MIN(Parameters!$B$10,H26+Parameters!$B$16),H26))))</f>
        <v>70</v>
      </c>
      <c r="I27" s="11" t="n">
        <f aca="false">IF($K26&lt;=0,I26,IF($B27="Travel",MAX(0,I26-Parameters!$B$13),IF(AND($B27="Work",$C27=6),MAX(0,I26-Parameters!$B$14),IF(AND($B27="Gather",$C27=6),MIN(Parameters!$B$10,I26+Parameters!$B$16),I26))))</f>
        <v>70</v>
      </c>
      <c r="J27" s="11" t="n">
        <f aca="false">IF($K26&lt;=0,J26,IF($B27="Travel",MAX(0,J26-Parameters!$B$13),IF(AND($B27="Work",$C27=7),MAX(0,J26-Parameters!$B$14),IF(AND($B27="Gather",$C27=7),MIN(Parameters!$B$10,J26+Parameters!$B$16),J26))))</f>
        <v>25</v>
      </c>
      <c r="K27" s="11" t="n">
        <f aca="false">IF($K26&lt;=0,0,MAX(0,K26-L27*Parameters!$B$6-IF($B27="Gather",Parameters!$B$17,0)))</f>
        <v>45</v>
      </c>
      <c r="L27" s="11" t="n">
        <f aca="false">IF($K26&lt;=0,0,MAX(0,IF($B27="Travel",Parameters!$B$13*7,IF($B27="Work",Parameters!$B$14,0))-(SUM(D26:J26)-SUM(D27:J27))))</f>
        <v>0</v>
      </c>
      <c r="M27" s="11" t="str">
        <f aca="false">IF(K27&lt;=0,"RUN OVER","alive")</f>
        <v>alive</v>
      </c>
    </row>
    <row r="28" customFormat="false" ht="15" hidden="false" customHeight="false" outlineLevel="0" collapsed="false">
      <c r="A28" s="11" t="n">
        <v>22</v>
      </c>
      <c r="B28" s="10" t="s">
        <v>110</v>
      </c>
      <c r="C28" s="10" t="n">
        <v>1</v>
      </c>
      <c r="D28" s="11" t="n">
        <f aca="false">IF($K27&lt;=0,D27,IF($B28="Travel",MAX(0,D27-Parameters!$B$13),IF(AND($B28="Work",$C28=1),MAX(0,D27-Parameters!$B$14),IF(AND($B28="Gather",$C28=1),MIN(Parameters!$B$10,D27+Parameters!$B$16),D27))))</f>
        <v>22</v>
      </c>
      <c r="E28" s="11" t="n">
        <f aca="false">IF($K27&lt;=0,E27,IF($B28="Travel",MAX(0,E27-Parameters!$B$13),IF(AND($B28="Work",$C28=2),MAX(0,E27-Parameters!$B$14),IF(AND($B28="Gather",$C28=2),MIN(Parameters!$B$10,E27+Parameters!$B$16),E27))))</f>
        <v>70</v>
      </c>
      <c r="F28" s="11" t="n">
        <f aca="false">IF($K27&lt;=0,F27,IF($B28="Travel",MAX(0,F27-Parameters!$B$13),IF(AND($B28="Work",$C28=3),MAX(0,F27-Parameters!$B$14),IF(AND($B28="Gather",$C28=3),MIN(Parameters!$B$10,F27+Parameters!$B$16),F27))))</f>
        <v>70</v>
      </c>
      <c r="G28" s="11" t="n">
        <f aca="false">IF($K27&lt;=0,G27,IF($B28="Travel",MAX(0,G27-Parameters!$B$13),IF(AND($B28="Work",$C28=4),MAX(0,G27-Parameters!$B$14),IF(AND($B28="Gather",$C28=4),MIN(Parameters!$B$10,G27+Parameters!$B$16),G27))))</f>
        <v>70</v>
      </c>
      <c r="H28" s="11" t="n">
        <f aca="false">IF($K27&lt;=0,H27,IF($B28="Travel",MAX(0,H27-Parameters!$B$13),IF(AND($B28="Work",$C28=5),MAX(0,H27-Parameters!$B$14),IF(AND($B28="Gather",$C28=5),MIN(Parameters!$B$10,H27+Parameters!$B$16),H27))))</f>
        <v>70</v>
      </c>
      <c r="I28" s="11" t="n">
        <f aca="false">IF($K27&lt;=0,I27,IF($B28="Travel",MAX(0,I27-Parameters!$B$13),IF(AND($B28="Work",$C28=6),MAX(0,I27-Parameters!$B$14),IF(AND($B28="Gather",$C28=6),MIN(Parameters!$B$10,I27+Parameters!$B$16),I27))))</f>
        <v>70</v>
      </c>
      <c r="J28" s="11" t="n">
        <f aca="false">IF($K27&lt;=0,J27,IF($B28="Travel",MAX(0,J27-Parameters!$B$13),IF(AND($B28="Work",$C28=7),MAX(0,J27-Parameters!$B$14),IF(AND($B28="Gather",$C28=7),MIN(Parameters!$B$10,J27+Parameters!$B$16),J27))))</f>
        <v>25</v>
      </c>
      <c r="K28" s="11" t="n">
        <f aca="false">IF($K27&lt;=0,0,MAX(0,K27-L28*Parameters!$B$6-IF($B28="Gather",Parameters!$B$17,0)))</f>
        <v>45</v>
      </c>
      <c r="L28" s="11" t="n">
        <f aca="false">IF($K27&lt;=0,0,MAX(0,IF($B28="Travel",Parameters!$B$13*7,IF($B28="Work",Parameters!$B$14,0))-(SUM(D27:J27)-SUM(D28:J28))))</f>
        <v>0</v>
      </c>
      <c r="M28" s="11" t="str">
        <f aca="false">IF(K28&lt;=0,"RUN OVER","alive")</f>
        <v>alive</v>
      </c>
    </row>
    <row r="29" customFormat="false" ht="15" hidden="false" customHeight="false" outlineLevel="0" collapsed="false">
      <c r="A29" s="11" t="n">
        <v>23</v>
      </c>
      <c r="B29" s="10" t="s">
        <v>110</v>
      </c>
      <c r="C29" s="10" t="n">
        <v>1</v>
      </c>
      <c r="D29" s="11" t="n">
        <f aca="false">IF($K28&lt;=0,D28,IF($B29="Travel",MAX(0,D28-Parameters!$B$13),IF(AND($B29="Work",$C29=1),MAX(0,D28-Parameters!$B$14),IF(AND($B29="Gather",$C29=1),MIN(Parameters!$B$10,D28+Parameters!$B$16),D28))))</f>
        <v>14</v>
      </c>
      <c r="E29" s="11" t="n">
        <f aca="false">IF($K28&lt;=0,E28,IF($B29="Travel",MAX(0,E28-Parameters!$B$13),IF(AND($B29="Work",$C29=2),MAX(0,E28-Parameters!$B$14),IF(AND($B29="Gather",$C29=2),MIN(Parameters!$B$10,E28+Parameters!$B$16),E28))))</f>
        <v>70</v>
      </c>
      <c r="F29" s="11" t="n">
        <f aca="false">IF($K28&lt;=0,F28,IF($B29="Travel",MAX(0,F28-Parameters!$B$13),IF(AND($B29="Work",$C29=3),MAX(0,F28-Parameters!$B$14),IF(AND($B29="Gather",$C29=3),MIN(Parameters!$B$10,F28+Parameters!$B$16),F28))))</f>
        <v>70</v>
      </c>
      <c r="G29" s="11" t="n">
        <f aca="false">IF($K28&lt;=0,G28,IF($B29="Travel",MAX(0,G28-Parameters!$B$13),IF(AND($B29="Work",$C29=4),MAX(0,G28-Parameters!$B$14),IF(AND($B29="Gather",$C29=4),MIN(Parameters!$B$10,G28+Parameters!$B$16),G28))))</f>
        <v>70</v>
      </c>
      <c r="H29" s="11" t="n">
        <f aca="false">IF($K28&lt;=0,H28,IF($B29="Travel",MAX(0,H28-Parameters!$B$13),IF(AND($B29="Work",$C29=5),MAX(0,H28-Parameters!$B$14),IF(AND($B29="Gather",$C29=5),MIN(Parameters!$B$10,H28+Parameters!$B$16),H28))))</f>
        <v>70</v>
      </c>
      <c r="I29" s="11" t="n">
        <f aca="false">IF($K28&lt;=0,I28,IF($B29="Travel",MAX(0,I28-Parameters!$B$13),IF(AND($B29="Work",$C29=6),MAX(0,I28-Parameters!$B$14),IF(AND($B29="Gather",$C29=6),MIN(Parameters!$B$10,I28+Parameters!$B$16),I28))))</f>
        <v>70</v>
      </c>
      <c r="J29" s="11" t="n">
        <f aca="false">IF($K28&lt;=0,J28,IF($B29="Travel",MAX(0,J28-Parameters!$B$13),IF(AND($B29="Work",$C29=7),MAX(0,J28-Parameters!$B$14),IF(AND($B29="Gather",$C29=7),MIN(Parameters!$B$10,J28+Parameters!$B$16),J28))))</f>
        <v>25</v>
      </c>
      <c r="K29" s="11" t="n">
        <f aca="false">IF($K28&lt;=0,0,MAX(0,K28-L29*Parameters!$B$6-IF($B29="Gather",Parameters!$B$17,0)))</f>
        <v>45</v>
      </c>
      <c r="L29" s="11" t="n">
        <f aca="false">IF($K28&lt;=0,0,MAX(0,IF($B29="Travel",Parameters!$B$13*7,IF($B29="Work",Parameters!$B$14,0))-(SUM(D28:J28)-SUM(D29:J29))))</f>
        <v>0</v>
      </c>
      <c r="M29" s="11" t="str">
        <f aca="false">IF(K29&lt;=0,"RUN OVER","alive")</f>
        <v>alive</v>
      </c>
    </row>
    <row r="30" customFormat="false" ht="15" hidden="false" customHeight="false" outlineLevel="0" collapsed="false">
      <c r="A30" s="11" t="n">
        <v>24</v>
      </c>
      <c r="B30" s="10" t="s">
        <v>110</v>
      </c>
      <c r="C30" s="10" t="n">
        <v>1</v>
      </c>
      <c r="D30" s="11" t="n">
        <f aca="false">IF($K29&lt;=0,D29,IF($B30="Travel",MAX(0,D29-Parameters!$B$13),IF(AND($B30="Work",$C30=1),MAX(0,D29-Parameters!$B$14),IF(AND($B30="Gather",$C30=1),MIN(Parameters!$B$10,D29+Parameters!$B$16),D29))))</f>
        <v>6</v>
      </c>
      <c r="E30" s="11" t="n">
        <f aca="false">IF($K29&lt;=0,E29,IF($B30="Travel",MAX(0,E29-Parameters!$B$13),IF(AND($B30="Work",$C30=2),MAX(0,E29-Parameters!$B$14),IF(AND($B30="Gather",$C30=2),MIN(Parameters!$B$10,E29+Parameters!$B$16),E29))))</f>
        <v>70</v>
      </c>
      <c r="F30" s="11" t="n">
        <f aca="false">IF($K29&lt;=0,F29,IF($B30="Travel",MAX(0,F29-Parameters!$B$13),IF(AND($B30="Work",$C30=3),MAX(0,F29-Parameters!$B$14),IF(AND($B30="Gather",$C30=3),MIN(Parameters!$B$10,F29+Parameters!$B$16),F29))))</f>
        <v>70</v>
      </c>
      <c r="G30" s="11" t="n">
        <f aca="false">IF($K29&lt;=0,G29,IF($B30="Travel",MAX(0,G29-Parameters!$B$13),IF(AND($B30="Work",$C30=4),MAX(0,G29-Parameters!$B$14),IF(AND($B30="Gather",$C30=4),MIN(Parameters!$B$10,G29+Parameters!$B$16),G29))))</f>
        <v>70</v>
      </c>
      <c r="H30" s="11" t="n">
        <f aca="false">IF($K29&lt;=0,H29,IF($B30="Travel",MAX(0,H29-Parameters!$B$13),IF(AND($B30="Work",$C30=5),MAX(0,H29-Parameters!$B$14),IF(AND($B30="Gather",$C30=5),MIN(Parameters!$B$10,H29+Parameters!$B$16),H29))))</f>
        <v>70</v>
      </c>
      <c r="I30" s="11" t="n">
        <f aca="false">IF($K29&lt;=0,I29,IF($B30="Travel",MAX(0,I29-Parameters!$B$13),IF(AND($B30="Work",$C30=6),MAX(0,I29-Parameters!$B$14),IF(AND($B30="Gather",$C30=6),MIN(Parameters!$B$10,I29+Parameters!$B$16),I29))))</f>
        <v>70</v>
      </c>
      <c r="J30" s="11" t="n">
        <f aca="false">IF($K29&lt;=0,J29,IF($B30="Travel",MAX(0,J29-Parameters!$B$13),IF(AND($B30="Work",$C30=7),MAX(0,J29-Parameters!$B$14),IF(AND($B30="Gather",$C30=7),MIN(Parameters!$B$10,J29+Parameters!$B$16),J29))))</f>
        <v>25</v>
      </c>
      <c r="K30" s="11" t="n">
        <f aca="false">IF($K29&lt;=0,0,MAX(0,K29-L30*Parameters!$B$6-IF($B30="Gather",Parameters!$B$17,0)))</f>
        <v>45</v>
      </c>
      <c r="L30" s="11" t="n">
        <f aca="false">IF($K29&lt;=0,0,MAX(0,IF($B30="Travel",Parameters!$B$13*7,IF($B30="Work",Parameters!$B$14,0))-(SUM(D29:J29)-SUM(D30:J30))))</f>
        <v>0</v>
      </c>
      <c r="M30" s="11" t="str">
        <f aca="false">IF(K30&lt;=0,"RUN OVER","alive")</f>
        <v>alive</v>
      </c>
    </row>
    <row r="31" customFormat="false" ht="15" hidden="false" customHeight="false" outlineLevel="0" collapsed="false">
      <c r="A31" s="11" t="n">
        <v>25</v>
      </c>
      <c r="B31" s="10" t="s">
        <v>108</v>
      </c>
      <c r="C31" s="10"/>
      <c r="D31" s="11" t="n">
        <f aca="false">IF($K30&lt;=0,D30,IF($B31="Travel",MAX(0,D30-Parameters!$B$13),IF(AND($B31="Work",$C31=1),MAX(0,D30-Parameters!$B$14),IF(AND($B31="Gather",$C31=1),MIN(Parameters!$B$10,D30+Parameters!$B$16),D30))))</f>
        <v>0</v>
      </c>
      <c r="E31" s="11" t="n">
        <f aca="false">IF($K30&lt;=0,E30,IF($B31="Travel",MAX(0,E30-Parameters!$B$13),IF(AND($B31="Work",$C31=2),MAX(0,E30-Parameters!$B$14),IF(AND($B31="Gather",$C31=2),MIN(Parameters!$B$10,E30+Parameters!$B$16),E30))))</f>
        <v>55</v>
      </c>
      <c r="F31" s="11" t="n">
        <f aca="false">IF($K30&lt;=0,F30,IF($B31="Travel",MAX(0,F30-Parameters!$B$13),IF(AND($B31="Work",$C31=3),MAX(0,F30-Parameters!$B$14),IF(AND($B31="Gather",$C31=3),MIN(Parameters!$B$10,F30+Parameters!$B$16),F30))))</f>
        <v>55</v>
      </c>
      <c r="G31" s="11" t="n">
        <f aca="false">IF($K30&lt;=0,G30,IF($B31="Travel",MAX(0,G30-Parameters!$B$13),IF(AND($B31="Work",$C31=4),MAX(0,G30-Parameters!$B$14),IF(AND($B31="Gather",$C31=4),MIN(Parameters!$B$10,G30+Parameters!$B$16),G30))))</f>
        <v>55</v>
      </c>
      <c r="H31" s="11" t="n">
        <f aca="false">IF($K30&lt;=0,H30,IF($B31="Travel",MAX(0,H30-Parameters!$B$13),IF(AND($B31="Work",$C31=5),MAX(0,H30-Parameters!$B$14),IF(AND($B31="Gather",$C31=5),MIN(Parameters!$B$10,H30+Parameters!$B$16),H30))))</f>
        <v>55</v>
      </c>
      <c r="I31" s="11" t="n">
        <f aca="false">IF($K30&lt;=0,I30,IF($B31="Travel",MAX(0,I30-Parameters!$B$13),IF(AND($B31="Work",$C31=6),MAX(0,I30-Parameters!$B$14),IF(AND($B31="Gather",$C31=6),MIN(Parameters!$B$10,I30+Parameters!$B$16),I30))))</f>
        <v>55</v>
      </c>
      <c r="J31" s="11" t="n">
        <f aca="false">IF($K30&lt;=0,J30,IF($B31="Travel",MAX(0,J30-Parameters!$B$13),IF(AND($B31="Work",$C31=7),MAX(0,J30-Parameters!$B$14),IF(AND($B31="Gather",$C31=7),MIN(Parameters!$B$10,J30+Parameters!$B$16),J30))))</f>
        <v>10</v>
      </c>
      <c r="K31" s="11" t="n">
        <f aca="false">IF($K30&lt;=0,0,MAX(0,K30-L31*Parameters!$B$6-IF($B31="Gather",Parameters!$B$17,0)))</f>
        <v>36</v>
      </c>
      <c r="L31" s="11" t="n">
        <f aca="false">IF($K30&lt;=0,0,MAX(0,IF($B31="Travel",Parameters!$B$13*7,IF($B31="Work",Parameters!$B$14,0))-(SUM(D30:J30)-SUM(D31:J31))))</f>
        <v>9</v>
      </c>
      <c r="M31" s="11" t="str">
        <f aca="false">IF(K31&lt;=0,"RUN OVER","alive")</f>
        <v>alive</v>
      </c>
    </row>
    <row r="32" customFormat="false" ht="15" hidden="false" customHeight="false" outlineLevel="0" collapsed="false">
      <c r="A32" s="11" t="n">
        <v>26</v>
      </c>
      <c r="B32" s="10" t="s">
        <v>110</v>
      </c>
      <c r="C32" s="10" t="n">
        <v>2</v>
      </c>
      <c r="D32" s="11" t="n">
        <f aca="false">IF($K31&lt;=0,D31,IF($B32="Travel",MAX(0,D31-Parameters!$B$13),IF(AND($B32="Work",$C32=1),MAX(0,D31-Parameters!$B$14),IF(AND($B32="Gather",$C32=1),MIN(Parameters!$B$10,D31+Parameters!$B$16),D31))))</f>
        <v>0</v>
      </c>
      <c r="E32" s="11" t="n">
        <f aca="false">IF($K31&lt;=0,E31,IF($B32="Travel",MAX(0,E31-Parameters!$B$13),IF(AND($B32="Work",$C32=2),MAX(0,E31-Parameters!$B$14),IF(AND($B32="Gather",$C32=2),MIN(Parameters!$B$10,E31+Parameters!$B$16),E31))))</f>
        <v>47</v>
      </c>
      <c r="F32" s="11" t="n">
        <f aca="false">IF($K31&lt;=0,F31,IF($B32="Travel",MAX(0,F31-Parameters!$B$13),IF(AND($B32="Work",$C32=3),MAX(0,F31-Parameters!$B$14),IF(AND($B32="Gather",$C32=3),MIN(Parameters!$B$10,F31+Parameters!$B$16),F31))))</f>
        <v>55</v>
      </c>
      <c r="G32" s="11" t="n">
        <f aca="false">IF($K31&lt;=0,G31,IF($B32="Travel",MAX(0,G31-Parameters!$B$13),IF(AND($B32="Work",$C32=4),MAX(0,G31-Parameters!$B$14),IF(AND($B32="Gather",$C32=4),MIN(Parameters!$B$10,G31+Parameters!$B$16),G31))))</f>
        <v>55</v>
      </c>
      <c r="H32" s="11" t="n">
        <f aca="false">IF($K31&lt;=0,H31,IF($B32="Travel",MAX(0,H31-Parameters!$B$13),IF(AND($B32="Work",$C32=5),MAX(0,H31-Parameters!$B$14),IF(AND($B32="Gather",$C32=5),MIN(Parameters!$B$10,H31+Parameters!$B$16),H31))))</f>
        <v>55</v>
      </c>
      <c r="I32" s="11" t="n">
        <f aca="false">IF($K31&lt;=0,I31,IF($B32="Travel",MAX(0,I31-Parameters!$B$13),IF(AND($B32="Work",$C32=6),MAX(0,I31-Parameters!$B$14),IF(AND($B32="Gather",$C32=6),MIN(Parameters!$B$10,I31+Parameters!$B$16),I31))))</f>
        <v>55</v>
      </c>
      <c r="J32" s="11" t="n">
        <f aca="false">IF($K31&lt;=0,J31,IF($B32="Travel",MAX(0,J31-Parameters!$B$13),IF(AND($B32="Work",$C32=7),MAX(0,J31-Parameters!$B$14),IF(AND($B32="Gather",$C32=7),MIN(Parameters!$B$10,J31+Parameters!$B$16),J31))))</f>
        <v>10</v>
      </c>
      <c r="K32" s="11" t="n">
        <f aca="false">IF($K31&lt;=0,0,MAX(0,K31-L32*Parameters!$B$6-IF($B32="Gather",Parameters!$B$17,0)))</f>
        <v>36</v>
      </c>
      <c r="L32" s="11" t="n">
        <f aca="false">IF($K31&lt;=0,0,MAX(0,IF($B32="Travel",Parameters!$B$13*7,IF($B32="Work",Parameters!$B$14,0))-(SUM(D31:J31)-SUM(D32:J32))))</f>
        <v>0</v>
      </c>
      <c r="M32" s="11" t="str">
        <f aca="false">IF(K32&lt;=0,"RUN OVER","alive")</f>
        <v>alive</v>
      </c>
    </row>
    <row r="33" customFormat="false" ht="15" hidden="false" customHeight="false" outlineLevel="0" collapsed="false">
      <c r="A33" s="11" t="n">
        <v>27</v>
      </c>
      <c r="B33" s="10" t="s">
        <v>110</v>
      </c>
      <c r="C33" s="10" t="n">
        <v>2</v>
      </c>
      <c r="D33" s="11" t="n">
        <f aca="false">IF($K32&lt;=0,D32,IF($B33="Travel",MAX(0,D32-Parameters!$B$13),IF(AND($B33="Work",$C33=1),MAX(0,D32-Parameters!$B$14),IF(AND($B33="Gather",$C33=1),MIN(Parameters!$B$10,D32+Parameters!$B$16),D32))))</f>
        <v>0</v>
      </c>
      <c r="E33" s="11" t="n">
        <f aca="false">IF($K32&lt;=0,E32,IF($B33="Travel",MAX(0,E32-Parameters!$B$13),IF(AND($B33="Work",$C33=2),MAX(0,E32-Parameters!$B$14),IF(AND($B33="Gather",$C33=2),MIN(Parameters!$B$10,E32+Parameters!$B$16),E32))))</f>
        <v>39</v>
      </c>
      <c r="F33" s="11" t="n">
        <f aca="false">IF($K32&lt;=0,F32,IF($B33="Travel",MAX(0,F32-Parameters!$B$13),IF(AND($B33="Work",$C33=3),MAX(0,F32-Parameters!$B$14),IF(AND($B33="Gather",$C33=3),MIN(Parameters!$B$10,F32+Parameters!$B$16),F32))))</f>
        <v>55</v>
      </c>
      <c r="G33" s="11" t="n">
        <f aca="false">IF($K32&lt;=0,G32,IF($B33="Travel",MAX(0,G32-Parameters!$B$13),IF(AND($B33="Work",$C33=4),MAX(0,G32-Parameters!$B$14),IF(AND($B33="Gather",$C33=4),MIN(Parameters!$B$10,G32+Parameters!$B$16),G32))))</f>
        <v>55</v>
      </c>
      <c r="H33" s="11" t="n">
        <f aca="false">IF($K32&lt;=0,H32,IF($B33="Travel",MAX(0,H32-Parameters!$B$13),IF(AND($B33="Work",$C33=5),MAX(0,H32-Parameters!$B$14),IF(AND($B33="Gather",$C33=5),MIN(Parameters!$B$10,H32+Parameters!$B$16),H32))))</f>
        <v>55</v>
      </c>
      <c r="I33" s="11" t="n">
        <f aca="false">IF($K32&lt;=0,I32,IF($B33="Travel",MAX(0,I32-Parameters!$B$13),IF(AND($B33="Work",$C33=6),MAX(0,I32-Parameters!$B$14),IF(AND($B33="Gather",$C33=6),MIN(Parameters!$B$10,I32+Parameters!$B$16),I32))))</f>
        <v>55</v>
      </c>
      <c r="J33" s="11" t="n">
        <f aca="false">IF($K32&lt;=0,J32,IF($B33="Travel",MAX(0,J32-Parameters!$B$13),IF(AND($B33="Work",$C33=7),MAX(0,J32-Parameters!$B$14),IF(AND($B33="Gather",$C33=7),MIN(Parameters!$B$10,J32+Parameters!$B$16),J32))))</f>
        <v>10</v>
      </c>
      <c r="K33" s="11" t="n">
        <f aca="false">IF($K32&lt;=0,0,MAX(0,K32-L33*Parameters!$B$6-IF($B33="Gather",Parameters!$B$17,0)))</f>
        <v>36</v>
      </c>
      <c r="L33" s="11" t="n">
        <f aca="false">IF($K32&lt;=0,0,MAX(0,IF($B33="Travel",Parameters!$B$13*7,IF($B33="Work",Parameters!$B$14,0))-(SUM(D32:J32)-SUM(D33:J33))))</f>
        <v>0</v>
      </c>
      <c r="M33" s="11" t="str">
        <f aca="false">IF(K33&lt;=0,"RUN OVER","alive")</f>
        <v>alive</v>
      </c>
    </row>
    <row r="34" customFormat="false" ht="15" hidden="false" customHeight="false" outlineLevel="0" collapsed="false">
      <c r="A34" s="11" t="n">
        <v>28</v>
      </c>
      <c r="B34" s="10" t="s">
        <v>110</v>
      </c>
      <c r="C34" s="10" t="n">
        <v>2</v>
      </c>
      <c r="D34" s="11" t="n">
        <f aca="false">IF($K33&lt;=0,D33,IF($B34="Travel",MAX(0,D33-Parameters!$B$13),IF(AND($B34="Work",$C34=1),MAX(0,D33-Parameters!$B$14),IF(AND($B34="Gather",$C34=1),MIN(Parameters!$B$10,D33+Parameters!$B$16),D33))))</f>
        <v>0</v>
      </c>
      <c r="E34" s="11" t="n">
        <f aca="false">IF($K33&lt;=0,E33,IF($B34="Travel",MAX(0,E33-Parameters!$B$13),IF(AND($B34="Work",$C34=2),MAX(0,E33-Parameters!$B$14),IF(AND($B34="Gather",$C34=2),MIN(Parameters!$B$10,E33+Parameters!$B$16),E33))))</f>
        <v>31</v>
      </c>
      <c r="F34" s="11" t="n">
        <f aca="false">IF($K33&lt;=0,F33,IF($B34="Travel",MAX(0,F33-Parameters!$B$13),IF(AND($B34="Work",$C34=3),MAX(0,F33-Parameters!$B$14),IF(AND($B34="Gather",$C34=3),MIN(Parameters!$B$10,F33+Parameters!$B$16),F33))))</f>
        <v>55</v>
      </c>
      <c r="G34" s="11" t="n">
        <f aca="false">IF($K33&lt;=0,G33,IF($B34="Travel",MAX(0,G33-Parameters!$B$13),IF(AND($B34="Work",$C34=4),MAX(0,G33-Parameters!$B$14),IF(AND($B34="Gather",$C34=4),MIN(Parameters!$B$10,G33+Parameters!$B$16),G33))))</f>
        <v>55</v>
      </c>
      <c r="H34" s="11" t="n">
        <f aca="false">IF($K33&lt;=0,H33,IF($B34="Travel",MAX(0,H33-Parameters!$B$13),IF(AND($B34="Work",$C34=5),MAX(0,H33-Parameters!$B$14),IF(AND($B34="Gather",$C34=5),MIN(Parameters!$B$10,H33+Parameters!$B$16),H33))))</f>
        <v>55</v>
      </c>
      <c r="I34" s="11" t="n">
        <f aca="false">IF($K33&lt;=0,I33,IF($B34="Travel",MAX(0,I33-Parameters!$B$13),IF(AND($B34="Work",$C34=6),MAX(0,I33-Parameters!$B$14),IF(AND($B34="Gather",$C34=6),MIN(Parameters!$B$10,I33+Parameters!$B$16),I33))))</f>
        <v>55</v>
      </c>
      <c r="J34" s="11" t="n">
        <f aca="false">IF($K33&lt;=0,J33,IF($B34="Travel",MAX(0,J33-Parameters!$B$13),IF(AND($B34="Work",$C34=7),MAX(0,J33-Parameters!$B$14),IF(AND($B34="Gather",$C34=7),MIN(Parameters!$B$10,J33+Parameters!$B$16),J33))))</f>
        <v>10</v>
      </c>
      <c r="K34" s="11" t="n">
        <f aca="false">IF($K33&lt;=0,0,MAX(0,K33-L34*Parameters!$B$6-IF($B34="Gather",Parameters!$B$17,0)))</f>
        <v>36</v>
      </c>
      <c r="L34" s="11" t="n">
        <f aca="false">IF($K33&lt;=0,0,MAX(0,IF($B34="Travel",Parameters!$B$13*7,IF($B34="Work",Parameters!$B$14,0))-(SUM(D33:J33)-SUM(D34:J34))))</f>
        <v>0</v>
      </c>
      <c r="M34" s="11" t="str">
        <f aca="false">IF(K34&lt;=0,"RUN OVER","alive")</f>
        <v>alive</v>
      </c>
    </row>
    <row r="35" customFormat="false" ht="15" hidden="false" customHeight="false" outlineLevel="0" collapsed="false">
      <c r="A35" s="11" t="n">
        <v>29</v>
      </c>
      <c r="B35" s="10" t="s">
        <v>110</v>
      </c>
      <c r="C35" s="10" t="n">
        <v>2</v>
      </c>
      <c r="D35" s="11" t="n">
        <f aca="false">IF($K34&lt;=0,D34,IF($B35="Travel",MAX(0,D34-Parameters!$B$13),IF(AND($B35="Work",$C35=1),MAX(0,D34-Parameters!$B$14),IF(AND($B35="Gather",$C35=1),MIN(Parameters!$B$10,D34+Parameters!$B$16),D34))))</f>
        <v>0</v>
      </c>
      <c r="E35" s="11" t="n">
        <f aca="false">IF($K34&lt;=0,E34,IF($B35="Travel",MAX(0,E34-Parameters!$B$13),IF(AND($B35="Work",$C35=2),MAX(0,E34-Parameters!$B$14),IF(AND($B35="Gather",$C35=2),MIN(Parameters!$B$10,E34+Parameters!$B$16),E34))))</f>
        <v>23</v>
      </c>
      <c r="F35" s="11" t="n">
        <f aca="false">IF($K34&lt;=0,F34,IF($B35="Travel",MAX(0,F34-Parameters!$B$13),IF(AND($B35="Work",$C35=3),MAX(0,F34-Parameters!$B$14),IF(AND($B35="Gather",$C35=3),MIN(Parameters!$B$10,F34+Parameters!$B$16),F34))))</f>
        <v>55</v>
      </c>
      <c r="G35" s="11" t="n">
        <f aca="false">IF($K34&lt;=0,G34,IF($B35="Travel",MAX(0,G34-Parameters!$B$13),IF(AND($B35="Work",$C35=4),MAX(0,G34-Parameters!$B$14),IF(AND($B35="Gather",$C35=4),MIN(Parameters!$B$10,G34+Parameters!$B$16),G34))))</f>
        <v>55</v>
      </c>
      <c r="H35" s="11" t="n">
        <f aca="false">IF($K34&lt;=0,H34,IF($B35="Travel",MAX(0,H34-Parameters!$B$13),IF(AND($B35="Work",$C35=5),MAX(0,H34-Parameters!$B$14),IF(AND($B35="Gather",$C35=5),MIN(Parameters!$B$10,H34+Parameters!$B$16),H34))))</f>
        <v>55</v>
      </c>
      <c r="I35" s="11" t="n">
        <f aca="false">IF($K34&lt;=0,I34,IF($B35="Travel",MAX(0,I34-Parameters!$B$13),IF(AND($B35="Work",$C35=6),MAX(0,I34-Parameters!$B$14),IF(AND($B35="Gather",$C35=6),MIN(Parameters!$B$10,I34+Parameters!$B$16),I34))))</f>
        <v>55</v>
      </c>
      <c r="J35" s="11" t="n">
        <f aca="false">IF($K34&lt;=0,J34,IF($B35="Travel",MAX(0,J34-Parameters!$B$13),IF(AND($B35="Work",$C35=7),MAX(0,J34-Parameters!$B$14),IF(AND($B35="Gather",$C35=7),MIN(Parameters!$B$10,J34+Parameters!$B$16),J34))))</f>
        <v>10</v>
      </c>
      <c r="K35" s="11" t="n">
        <f aca="false">IF($K34&lt;=0,0,MAX(0,K34-L35*Parameters!$B$6-IF($B35="Gather",Parameters!$B$17,0)))</f>
        <v>36</v>
      </c>
      <c r="L35" s="11" t="n">
        <f aca="false">IF($K34&lt;=0,0,MAX(0,IF($B35="Travel",Parameters!$B$13*7,IF($B35="Work",Parameters!$B$14,0))-(SUM(D34:J34)-SUM(D35:J35))))</f>
        <v>0</v>
      </c>
      <c r="M35" s="11" t="str">
        <f aca="false">IF(K35&lt;=0,"RUN OVER","alive")</f>
        <v>alive</v>
      </c>
    </row>
    <row r="36" customFormat="false" ht="15" hidden="false" customHeight="false" outlineLevel="0" collapsed="false">
      <c r="A36" s="11" t="n">
        <v>30</v>
      </c>
      <c r="B36" s="10" t="s">
        <v>110</v>
      </c>
      <c r="C36" s="10" t="n">
        <v>2</v>
      </c>
      <c r="D36" s="11" t="n">
        <f aca="false">IF($K35&lt;=0,D35,IF($B36="Travel",MAX(0,D35-Parameters!$B$13),IF(AND($B36="Work",$C36=1),MAX(0,D35-Parameters!$B$14),IF(AND($B36="Gather",$C36=1),MIN(Parameters!$B$10,D35+Parameters!$B$16),D35))))</f>
        <v>0</v>
      </c>
      <c r="E36" s="11" t="n">
        <f aca="false">IF($K35&lt;=0,E35,IF($B36="Travel",MAX(0,E35-Parameters!$B$13),IF(AND($B36="Work",$C36=2),MAX(0,E35-Parameters!$B$14),IF(AND($B36="Gather",$C36=2),MIN(Parameters!$B$10,E35+Parameters!$B$16),E35))))</f>
        <v>15</v>
      </c>
      <c r="F36" s="11" t="n">
        <f aca="false">IF($K35&lt;=0,F35,IF($B36="Travel",MAX(0,F35-Parameters!$B$13),IF(AND($B36="Work",$C36=3),MAX(0,F35-Parameters!$B$14),IF(AND($B36="Gather",$C36=3),MIN(Parameters!$B$10,F35+Parameters!$B$16),F35))))</f>
        <v>55</v>
      </c>
      <c r="G36" s="11" t="n">
        <f aca="false">IF($K35&lt;=0,G35,IF($B36="Travel",MAX(0,G35-Parameters!$B$13),IF(AND($B36="Work",$C36=4),MAX(0,G35-Parameters!$B$14),IF(AND($B36="Gather",$C36=4),MIN(Parameters!$B$10,G35+Parameters!$B$16),G35))))</f>
        <v>55</v>
      </c>
      <c r="H36" s="11" t="n">
        <f aca="false">IF($K35&lt;=0,H35,IF($B36="Travel",MAX(0,H35-Parameters!$B$13),IF(AND($B36="Work",$C36=5),MAX(0,H35-Parameters!$B$14),IF(AND($B36="Gather",$C36=5),MIN(Parameters!$B$10,H35+Parameters!$B$16),H35))))</f>
        <v>55</v>
      </c>
      <c r="I36" s="11" t="n">
        <f aca="false">IF($K35&lt;=0,I35,IF($B36="Travel",MAX(0,I35-Parameters!$B$13),IF(AND($B36="Work",$C36=6),MAX(0,I35-Parameters!$B$14),IF(AND($B36="Gather",$C36=6),MIN(Parameters!$B$10,I35+Parameters!$B$16),I35))))</f>
        <v>55</v>
      </c>
      <c r="J36" s="11" t="n">
        <f aca="false">IF($K35&lt;=0,J35,IF($B36="Travel",MAX(0,J35-Parameters!$B$13),IF(AND($B36="Work",$C36=7),MAX(0,J35-Parameters!$B$14),IF(AND($B36="Gather",$C36=7),MIN(Parameters!$B$10,J35+Parameters!$B$16),J35))))</f>
        <v>10</v>
      </c>
      <c r="K36" s="11" t="n">
        <f aca="false">IF($K35&lt;=0,0,MAX(0,K35-L36*Parameters!$B$6-IF($B36="Gather",Parameters!$B$17,0)))</f>
        <v>36</v>
      </c>
      <c r="L36" s="11" t="n">
        <f aca="false">IF($K35&lt;=0,0,MAX(0,IF($B36="Travel",Parameters!$B$13*7,IF($B36="Work",Parameters!$B$14,0))-(SUM(D35:J35)-SUM(D36:J36))))</f>
        <v>0</v>
      </c>
      <c r="M36" s="11" t="str">
        <f aca="false">IF(K36&lt;=0,"RUN OVER","alive")</f>
        <v>alive</v>
      </c>
    </row>
    <row r="37" customFormat="false" ht="15" hidden="false" customHeight="false" outlineLevel="0" collapsed="false">
      <c r="A37" s="11" t="n">
        <v>31</v>
      </c>
      <c r="B37" s="10" t="s">
        <v>110</v>
      </c>
      <c r="C37" s="10" t="n">
        <v>2</v>
      </c>
      <c r="D37" s="11" t="n">
        <f aca="false">IF($K36&lt;=0,D36,IF($B37="Travel",MAX(0,D36-Parameters!$B$13),IF(AND($B37="Work",$C37=1),MAX(0,D36-Parameters!$B$14),IF(AND($B37="Gather",$C37=1),MIN(Parameters!$B$10,D36+Parameters!$B$16),D36))))</f>
        <v>0</v>
      </c>
      <c r="E37" s="11" t="n">
        <f aca="false">IF($K36&lt;=0,E36,IF($B37="Travel",MAX(0,E36-Parameters!$B$13),IF(AND($B37="Work",$C37=2),MAX(0,E36-Parameters!$B$14),IF(AND($B37="Gather",$C37=2),MIN(Parameters!$B$10,E36+Parameters!$B$16),E36))))</f>
        <v>7</v>
      </c>
      <c r="F37" s="11" t="n">
        <f aca="false">IF($K36&lt;=0,F36,IF($B37="Travel",MAX(0,F36-Parameters!$B$13),IF(AND($B37="Work",$C37=3),MAX(0,F36-Parameters!$B$14),IF(AND($B37="Gather",$C37=3),MIN(Parameters!$B$10,F36+Parameters!$B$16),F36))))</f>
        <v>55</v>
      </c>
      <c r="G37" s="11" t="n">
        <f aca="false">IF($K36&lt;=0,G36,IF($B37="Travel",MAX(0,G36-Parameters!$B$13),IF(AND($B37="Work",$C37=4),MAX(0,G36-Parameters!$B$14),IF(AND($B37="Gather",$C37=4),MIN(Parameters!$B$10,G36+Parameters!$B$16),G36))))</f>
        <v>55</v>
      </c>
      <c r="H37" s="11" t="n">
        <f aca="false">IF($K36&lt;=0,H36,IF($B37="Travel",MAX(0,H36-Parameters!$B$13),IF(AND($B37="Work",$C37=5),MAX(0,H36-Parameters!$B$14),IF(AND($B37="Gather",$C37=5),MIN(Parameters!$B$10,H36+Parameters!$B$16),H36))))</f>
        <v>55</v>
      </c>
      <c r="I37" s="11" t="n">
        <f aca="false">IF($K36&lt;=0,I36,IF($B37="Travel",MAX(0,I36-Parameters!$B$13),IF(AND($B37="Work",$C37=6),MAX(0,I36-Parameters!$B$14),IF(AND($B37="Gather",$C37=6),MIN(Parameters!$B$10,I36+Parameters!$B$16),I36))))</f>
        <v>55</v>
      </c>
      <c r="J37" s="11" t="n">
        <f aca="false">IF($K36&lt;=0,J36,IF($B37="Travel",MAX(0,J36-Parameters!$B$13),IF(AND($B37="Work",$C37=7),MAX(0,J36-Parameters!$B$14),IF(AND($B37="Gather",$C37=7),MIN(Parameters!$B$10,J36+Parameters!$B$16),J36))))</f>
        <v>10</v>
      </c>
      <c r="K37" s="11" t="n">
        <f aca="false">IF($K36&lt;=0,0,MAX(0,K36-L37*Parameters!$B$6-IF($B37="Gather",Parameters!$B$17,0)))</f>
        <v>36</v>
      </c>
      <c r="L37" s="11" t="n">
        <f aca="false">IF($K36&lt;=0,0,MAX(0,IF($B37="Travel",Parameters!$B$13*7,IF($B37="Work",Parameters!$B$14,0))-(SUM(D36:J36)-SUM(D37:J37))))</f>
        <v>0</v>
      </c>
      <c r="M37" s="11" t="str">
        <f aca="false">IF(K37&lt;=0,"RUN OVER","alive")</f>
        <v>alive</v>
      </c>
    </row>
    <row r="38" customFormat="false" ht="15" hidden="false" customHeight="false" outlineLevel="0" collapsed="false">
      <c r="A38" s="11" t="n">
        <v>32</v>
      </c>
      <c r="B38" s="10" t="s">
        <v>110</v>
      </c>
      <c r="C38" s="10" t="n">
        <v>2</v>
      </c>
      <c r="D38" s="11" t="n">
        <f aca="false">IF($K37&lt;=0,D37,IF($B38="Travel",MAX(0,D37-Parameters!$B$13),IF(AND($B38="Work",$C38=1),MAX(0,D37-Parameters!$B$14),IF(AND($B38="Gather",$C38=1),MIN(Parameters!$B$10,D37+Parameters!$B$16),D37))))</f>
        <v>0</v>
      </c>
      <c r="E38" s="11" t="n">
        <f aca="false">IF($K37&lt;=0,E37,IF($B38="Travel",MAX(0,E37-Parameters!$B$13),IF(AND($B38="Work",$C38=2),MAX(0,E37-Parameters!$B$14),IF(AND($B38="Gather",$C38=2),MIN(Parameters!$B$10,E37+Parameters!$B$16),E37))))</f>
        <v>0</v>
      </c>
      <c r="F38" s="11" t="n">
        <f aca="false">IF($K37&lt;=0,F37,IF($B38="Travel",MAX(0,F37-Parameters!$B$13),IF(AND($B38="Work",$C38=3),MAX(0,F37-Parameters!$B$14),IF(AND($B38="Gather",$C38=3),MIN(Parameters!$B$10,F37+Parameters!$B$16),F37))))</f>
        <v>55</v>
      </c>
      <c r="G38" s="11" t="n">
        <f aca="false">IF($K37&lt;=0,G37,IF($B38="Travel",MAX(0,G37-Parameters!$B$13),IF(AND($B38="Work",$C38=4),MAX(0,G37-Parameters!$B$14),IF(AND($B38="Gather",$C38=4),MIN(Parameters!$B$10,G37+Parameters!$B$16),G37))))</f>
        <v>55</v>
      </c>
      <c r="H38" s="11" t="n">
        <f aca="false">IF($K37&lt;=0,H37,IF($B38="Travel",MAX(0,H37-Parameters!$B$13),IF(AND($B38="Work",$C38=5),MAX(0,H37-Parameters!$B$14),IF(AND($B38="Gather",$C38=5),MIN(Parameters!$B$10,H37+Parameters!$B$16),H37))))</f>
        <v>55</v>
      </c>
      <c r="I38" s="11" t="n">
        <f aca="false">IF($K37&lt;=0,I37,IF($B38="Travel",MAX(0,I37-Parameters!$B$13),IF(AND($B38="Work",$C38=6),MAX(0,I37-Parameters!$B$14),IF(AND($B38="Gather",$C38=6),MIN(Parameters!$B$10,I37+Parameters!$B$16),I37))))</f>
        <v>55</v>
      </c>
      <c r="J38" s="11" t="n">
        <f aca="false">IF($K37&lt;=0,J37,IF($B38="Travel",MAX(0,J37-Parameters!$B$13),IF(AND($B38="Work",$C38=7),MAX(0,J37-Parameters!$B$14),IF(AND($B38="Gather",$C38=7),MIN(Parameters!$B$10,J37+Parameters!$B$16),J37))))</f>
        <v>10</v>
      </c>
      <c r="K38" s="11" t="n">
        <f aca="false">IF($K37&lt;=0,0,MAX(0,K37-L38*Parameters!$B$6-IF($B38="Gather",Parameters!$B$17,0)))</f>
        <v>35</v>
      </c>
      <c r="L38" s="11" t="n">
        <f aca="false">IF($K37&lt;=0,0,MAX(0,IF($B38="Travel",Parameters!$B$13*7,IF($B38="Work",Parameters!$B$14,0))-(SUM(D37:J37)-SUM(D38:J38))))</f>
        <v>1</v>
      </c>
      <c r="M38" s="11" t="str">
        <f aca="false">IF(K38&lt;=0,"RUN OVER","alive")</f>
        <v>alive</v>
      </c>
    </row>
    <row r="39" customFormat="false" ht="15" hidden="false" customHeight="false" outlineLevel="0" collapsed="false">
      <c r="A39" s="11" t="n">
        <v>33</v>
      </c>
      <c r="B39" s="10" t="s">
        <v>110</v>
      </c>
      <c r="C39" s="10" t="n">
        <v>2</v>
      </c>
      <c r="D39" s="11" t="n">
        <f aca="false">IF($K38&lt;=0,D38,IF($B39="Travel",MAX(0,D38-Parameters!$B$13),IF(AND($B39="Work",$C39=1),MAX(0,D38-Parameters!$B$14),IF(AND($B39="Gather",$C39=1),MIN(Parameters!$B$10,D38+Parameters!$B$16),D38))))</f>
        <v>0</v>
      </c>
      <c r="E39" s="11" t="n">
        <f aca="false">IF($K38&lt;=0,E38,IF($B39="Travel",MAX(0,E38-Parameters!$B$13),IF(AND($B39="Work",$C39=2),MAX(0,E38-Parameters!$B$14),IF(AND($B39="Gather",$C39=2),MIN(Parameters!$B$10,E38+Parameters!$B$16),E38))))</f>
        <v>0</v>
      </c>
      <c r="F39" s="11" t="n">
        <f aca="false">IF($K38&lt;=0,F38,IF($B39="Travel",MAX(0,F38-Parameters!$B$13),IF(AND($B39="Work",$C39=3),MAX(0,F38-Parameters!$B$14),IF(AND($B39="Gather",$C39=3),MIN(Parameters!$B$10,F38+Parameters!$B$16),F38))))</f>
        <v>55</v>
      </c>
      <c r="G39" s="11" t="n">
        <f aca="false">IF($K38&lt;=0,G38,IF($B39="Travel",MAX(0,G38-Parameters!$B$13),IF(AND($B39="Work",$C39=4),MAX(0,G38-Parameters!$B$14),IF(AND($B39="Gather",$C39=4),MIN(Parameters!$B$10,G38+Parameters!$B$16),G38))))</f>
        <v>55</v>
      </c>
      <c r="H39" s="11" t="n">
        <f aca="false">IF($K38&lt;=0,H38,IF($B39="Travel",MAX(0,H38-Parameters!$B$13),IF(AND($B39="Work",$C39=5),MAX(0,H38-Parameters!$B$14),IF(AND($B39="Gather",$C39=5),MIN(Parameters!$B$10,H38+Parameters!$B$16),H38))))</f>
        <v>55</v>
      </c>
      <c r="I39" s="11" t="n">
        <f aca="false">IF($K38&lt;=0,I38,IF($B39="Travel",MAX(0,I38-Parameters!$B$13),IF(AND($B39="Work",$C39=6),MAX(0,I38-Parameters!$B$14),IF(AND($B39="Gather",$C39=6),MIN(Parameters!$B$10,I38+Parameters!$B$16),I38))))</f>
        <v>55</v>
      </c>
      <c r="J39" s="11" t="n">
        <f aca="false">IF($K38&lt;=0,J38,IF($B39="Travel",MAX(0,J38-Parameters!$B$13),IF(AND($B39="Work",$C39=7),MAX(0,J38-Parameters!$B$14),IF(AND($B39="Gather",$C39=7),MIN(Parameters!$B$10,J38+Parameters!$B$16),J38))))</f>
        <v>10</v>
      </c>
      <c r="K39" s="11" t="n">
        <f aca="false">IF($K38&lt;=0,0,MAX(0,K38-L39*Parameters!$B$6-IF($B39="Gather",Parameters!$B$17,0)))</f>
        <v>27</v>
      </c>
      <c r="L39" s="11" t="n">
        <f aca="false">IF($K38&lt;=0,0,MAX(0,IF($B39="Travel",Parameters!$B$13*7,IF($B39="Work",Parameters!$B$14,0))-(SUM(D38:J38)-SUM(D39:J39))))</f>
        <v>8</v>
      </c>
      <c r="M39" s="11" t="str">
        <f aca="false">IF(K39&lt;=0,"RUN OVER","alive")</f>
        <v>alive</v>
      </c>
    </row>
    <row r="40" customFormat="false" ht="15" hidden="false" customHeight="false" outlineLevel="0" collapsed="false">
      <c r="A40" s="11" t="n">
        <v>34</v>
      </c>
      <c r="B40" s="10" t="s">
        <v>108</v>
      </c>
      <c r="C40" s="10"/>
      <c r="D40" s="11" t="n">
        <f aca="false">IF($K39&lt;=0,D39,IF($B40="Travel",MAX(0,D39-Parameters!$B$13),IF(AND($B40="Work",$C40=1),MAX(0,D39-Parameters!$B$14),IF(AND($B40="Gather",$C40=1),MIN(Parameters!$B$10,D39+Parameters!$B$16),D39))))</f>
        <v>0</v>
      </c>
      <c r="E40" s="11" t="n">
        <f aca="false">IF($K39&lt;=0,E39,IF($B40="Travel",MAX(0,E39-Parameters!$B$13),IF(AND($B40="Work",$C40=2),MAX(0,E39-Parameters!$B$14),IF(AND($B40="Gather",$C40=2),MIN(Parameters!$B$10,E39+Parameters!$B$16),E39))))</f>
        <v>0</v>
      </c>
      <c r="F40" s="11" t="n">
        <f aca="false">IF($K39&lt;=0,F39,IF($B40="Travel",MAX(0,F39-Parameters!$B$13),IF(AND($B40="Work",$C40=3),MAX(0,F39-Parameters!$B$14),IF(AND($B40="Gather",$C40=3),MIN(Parameters!$B$10,F39+Parameters!$B$16),F39))))</f>
        <v>40</v>
      </c>
      <c r="G40" s="11" t="n">
        <f aca="false">IF($K39&lt;=0,G39,IF($B40="Travel",MAX(0,G39-Parameters!$B$13),IF(AND($B40="Work",$C40=4),MAX(0,G39-Parameters!$B$14),IF(AND($B40="Gather",$C40=4),MIN(Parameters!$B$10,G39+Parameters!$B$16),G39))))</f>
        <v>40</v>
      </c>
      <c r="H40" s="11" t="n">
        <f aca="false">IF($K39&lt;=0,H39,IF($B40="Travel",MAX(0,H39-Parameters!$B$13),IF(AND($B40="Work",$C40=5),MAX(0,H39-Parameters!$B$14),IF(AND($B40="Gather",$C40=5),MIN(Parameters!$B$10,H39+Parameters!$B$16),H39))))</f>
        <v>40</v>
      </c>
      <c r="I40" s="11" t="n">
        <f aca="false">IF($K39&lt;=0,I39,IF($B40="Travel",MAX(0,I39-Parameters!$B$13),IF(AND($B40="Work",$C40=6),MAX(0,I39-Parameters!$B$14),IF(AND($B40="Gather",$C40=6),MIN(Parameters!$B$10,I39+Parameters!$B$16),I39))))</f>
        <v>40</v>
      </c>
      <c r="J40" s="11" t="n">
        <f aca="false">IF($K39&lt;=0,J39,IF($B40="Travel",MAX(0,J39-Parameters!$B$13),IF(AND($B40="Work",$C40=7),MAX(0,J39-Parameters!$B$14),IF(AND($B40="Gather",$C40=7),MIN(Parameters!$B$10,J39+Parameters!$B$16),J39))))</f>
        <v>0</v>
      </c>
      <c r="K40" s="11" t="n">
        <f aca="false">IF($K39&lt;=0,0,MAX(0,K39-L40*Parameters!$B$6-IF($B40="Gather",Parameters!$B$17,0)))</f>
        <v>0</v>
      </c>
      <c r="L40" s="11" t="n">
        <f aca="false">IF($K39&lt;=0,0,MAX(0,IF($B40="Travel",Parameters!$B$13*7,IF($B40="Work",Parameters!$B$14,0))-(SUM(D39:J39)-SUM(D40:J40))))</f>
        <v>35</v>
      </c>
      <c r="M40" s="11" t="str">
        <f aca="false">IF(K40&lt;=0,"RUN OVER","alive")</f>
        <v>RUN OVER</v>
      </c>
    </row>
    <row r="41" customFormat="false" ht="15" hidden="false" customHeight="false" outlineLevel="0" collapsed="false">
      <c r="A41" s="11" t="n">
        <v>35</v>
      </c>
      <c r="B41" s="10" t="s">
        <v>110</v>
      </c>
      <c r="C41" s="10" t="n">
        <v>3</v>
      </c>
      <c r="D41" s="11" t="n">
        <f aca="false">IF($K40&lt;=0,D40,IF($B41="Travel",MAX(0,D40-Parameters!$B$13),IF(AND($B41="Work",$C41=1),MAX(0,D40-Parameters!$B$14),IF(AND($B41="Gather",$C41=1),MIN(Parameters!$B$10,D40+Parameters!$B$16),D40))))</f>
        <v>0</v>
      </c>
      <c r="E41" s="11" t="n">
        <f aca="false">IF($K40&lt;=0,E40,IF($B41="Travel",MAX(0,E40-Parameters!$B$13),IF(AND($B41="Work",$C41=2),MAX(0,E40-Parameters!$B$14),IF(AND($B41="Gather",$C41=2),MIN(Parameters!$B$10,E40+Parameters!$B$16),E40))))</f>
        <v>0</v>
      </c>
      <c r="F41" s="11" t="n">
        <f aca="false">IF($K40&lt;=0,F40,IF($B41="Travel",MAX(0,F40-Parameters!$B$13),IF(AND($B41="Work",$C41=3),MAX(0,F40-Parameters!$B$14),IF(AND($B41="Gather",$C41=3),MIN(Parameters!$B$10,F40+Parameters!$B$16),F40))))</f>
        <v>40</v>
      </c>
      <c r="G41" s="11" t="n">
        <f aca="false">IF($K40&lt;=0,G40,IF($B41="Travel",MAX(0,G40-Parameters!$B$13),IF(AND($B41="Work",$C41=4),MAX(0,G40-Parameters!$B$14),IF(AND($B41="Gather",$C41=4),MIN(Parameters!$B$10,G40+Parameters!$B$16),G40))))</f>
        <v>40</v>
      </c>
      <c r="H41" s="11" t="n">
        <f aca="false">IF($K40&lt;=0,H40,IF($B41="Travel",MAX(0,H40-Parameters!$B$13),IF(AND($B41="Work",$C41=5),MAX(0,H40-Parameters!$B$14),IF(AND($B41="Gather",$C41=5),MIN(Parameters!$B$10,H40+Parameters!$B$16),H40))))</f>
        <v>40</v>
      </c>
      <c r="I41" s="11" t="n">
        <f aca="false">IF($K40&lt;=0,I40,IF($B41="Travel",MAX(0,I40-Parameters!$B$13),IF(AND($B41="Work",$C41=6),MAX(0,I40-Parameters!$B$14),IF(AND($B41="Gather",$C41=6),MIN(Parameters!$B$10,I40+Parameters!$B$16),I40))))</f>
        <v>40</v>
      </c>
      <c r="J41" s="11" t="n">
        <f aca="false">IF($K40&lt;=0,J40,IF($B41="Travel",MAX(0,J40-Parameters!$B$13),IF(AND($B41="Work",$C41=7),MAX(0,J40-Parameters!$B$14),IF(AND($B41="Gather",$C41=7),MIN(Parameters!$B$10,J40+Parameters!$B$16),J40))))</f>
        <v>0</v>
      </c>
      <c r="K41" s="11" t="n">
        <f aca="false">IF($K40&lt;=0,0,MAX(0,K40-L41*Parameters!$B$6-IF($B41="Gather",Parameters!$B$17,0)))</f>
        <v>0</v>
      </c>
      <c r="L41" s="11" t="n">
        <f aca="false">IF($K40&lt;=0,0,MAX(0,IF($B41="Travel",Parameters!$B$13*7,IF($B41="Work",Parameters!$B$14,0))-(SUM(D40:J40)-SUM(D41:J41))))</f>
        <v>0</v>
      </c>
      <c r="M41" s="11" t="str">
        <f aca="false">IF(K41&lt;=0,"RUN OVER","alive")</f>
        <v>RUN OVER</v>
      </c>
    </row>
    <row r="42" customFormat="false" ht="15" hidden="false" customHeight="false" outlineLevel="0" collapsed="false">
      <c r="A42" s="11" t="n">
        <v>36</v>
      </c>
      <c r="B42" s="10" t="s">
        <v>110</v>
      </c>
      <c r="C42" s="10" t="n">
        <v>3</v>
      </c>
      <c r="D42" s="11" t="n">
        <f aca="false">IF($K41&lt;=0,D41,IF($B42="Travel",MAX(0,D41-Parameters!$B$13),IF(AND($B42="Work",$C42=1),MAX(0,D41-Parameters!$B$14),IF(AND($B42="Gather",$C42=1),MIN(Parameters!$B$10,D41+Parameters!$B$16),D41))))</f>
        <v>0</v>
      </c>
      <c r="E42" s="11" t="n">
        <f aca="false">IF($K41&lt;=0,E41,IF($B42="Travel",MAX(0,E41-Parameters!$B$13),IF(AND($B42="Work",$C42=2),MAX(0,E41-Parameters!$B$14),IF(AND($B42="Gather",$C42=2),MIN(Parameters!$B$10,E41+Parameters!$B$16),E41))))</f>
        <v>0</v>
      </c>
      <c r="F42" s="11" t="n">
        <f aca="false">IF($K41&lt;=0,F41,IF($B42="Travel",MAX(0,F41-Parameters!$B$13),IF(AND($B42="Work",$C42=3),MAX(0,F41-Parameters!$B$14),IF(AND($B42="Gather",$C42=3),MIN(Parameters!$B$10,F41+Parameters!$B$16),F41))))</f>
        <v>40</v>
      </c>
      <c r="G42" s="11" t="n">
        <f aca="false">IF($K41&lt;=0,G41,IF($B42="Travel",MAX(0,G41-Parameters!$B$13),IF(AND($B42="Work",$C42=4),MAX(0,G41-Parameters!$B$14),IF(AND($B42="Gather",$C42=4),MIN(Parameters!$B$10,G41+Parameters!$B$16),G41))))</f>
        <v>40</v>
      </c>
      <c r="H42" s="11" t="n">
        <f aca="false">IF($K41&lt;=0,H41,IF($B42="Travel",MAX(0,H41-Parameters!$B$13),IF(AND($B42="Work",$C42=5),MAX(0,H41-Parameters!$B$14),IF(AND($B42="Gather",$C42=5),MIN(Parameters!$B$10,H41+Parameters!$B$16),H41))))</f>
        <v>40</v>
      </c>
      <c r="I42" s="11" t="n">
        <f aca="false">IF($K41&lt;=0,I41,IF($B42="Travel",MAX(0,I41-Parameters!$B$13),IF(AND($B42="Work",$C42=6),MAX(0,I41-Parameters!$B$14),IF(AND($B42="Gather",$C42=6),MIN(Parameters!$B$10,I41+Parameters!$B$16),I41))))</f>
        <v>40</v>
      </c>
      <c r="J42" s="11" t="n">
        <f aca="false">IF($K41&lt;=0,J41,IF($B42="Travel",MAX(0,J41-Parameters!$B$13),IF(AND($B42="Work",$C42=7),MAX(0,J41-Parameters!$B$14),IF(AND($B42="Gather",$C42=7),MIN(Parameters!$B$10,J41+Parameters!$B$16),J41))))</f>
        <v>0</v>
      </c>
      <c r="K42" s="11" t="n">
        <f aca="false">IF($K41&lt;=0,0,MAX(0,K41-L42*Parameters!$B$6-IF($B42="Gather",Parameters!$B$17,0)))</f>
        <v>0</v>
      </c>
      <c r="L42" s="11" t="n">
        <f aca="false">IF($K41&lt;=0,0,MAX(0,IF($B42="Travel",Parameters!$B$13*7,IF($B42="Work",Parameters!$B$14,0))-(SUM(D41:J41)-SUM(D42:J42))))</f>
        <v>0</v>
      </c>
      <c r="M42" s="11" t="str">
        <f aca="false">IF(K42&lt;=0,"RUN OVER","alive")</f>
        <v>RUN OVER</v>
      </c>
    </row>
    <row r="43" customFormat="false" ht="15" hidden="false" customHeight="false" outlineLevel="0" collapsed="false">
      <c r="A43" s="11" t="n">
        <v>37</v>
      </c>
      <c r="B43" s="10" t="s">
        <v>110</v>
      </c>
      <c r="C43" s="10" t="n">
        <v>3</v>
      </c>
      <c r="D43" s="11" t="n">
        <f aca="false">IF($K42&lt;=0,D42,IF($B43="Travel",MAX(0,D42-Parameters!$B$13),IF(AND($B43="Work",$C43=1),MAX(0,D42-Parameters!$B$14),IF(AND($B43="Gather",$C43=1),MIN(Parameters!$B$10,D42+Parameters!$B$16),D42))))</f>
        <v>0</v>
      </c>
      <c r="E43" s="11" t="n">
        <f aca="false">IF($K42&lt;=0,E42,IF($B43="Travel",MAX(0,E42-Parameters!$B$13),IF(AND($B43="Work",$C43=2),MAX(0,E42-Parameters!$B$14),IF(AND($B43="Gather",$C43=2),MIN(Parameters!$B$10,E42+Parameters!$B$16),E42))))</f>
        <v>0</v>
      </c>
      <c r="F43" s="11" t="n">
        <f aca="false">IF($K42&lt;=0,F42,IF($B43="Travel",MAX(0,F42-Parameters!$B$13),IF(AND($B43="Work",$C43=3),MAX(0,F42-Parameters!$B$14),IF(AND($B43="Gather",$C43=3),MIN(Parameters!$B$10,F42+Parameters!$B$16),F42))))</f>
        <v>40</v>
      </c>
      <c r="G43" s="11" t="n">
        <f aca="false">IF($K42&lt;=0,G42,IF($B43="Travel",MAX(0,G42-Parameters!$B$13),IF(AND($B43="Work",$C43=4),MAX(0,G42-Parameters!$B$14),IF(AND($B43="Gather",$C43=4),MIN(Parameters!$B$10,G42+Parameters!$B$16),G42))))</f>
        <v>40</v>
      </c>
      <c r="H43" s="11" t="n">
        <f aca="false">IF($K42&lt;=0,H42,IF($B43="Travel",MAX(0,H42-Parameters!$B$13),IF(AND($B43="Work",$C43=5),MAX(0,H42-Parameters!$B$14),IF(AND($B43="Gather",$C43=5),MIN(Parameters!$B$10,H42+Parameters!$B$16),H42))))</f>
        <v>40</v>
      </c>
      <c r="I43" s="11" t="n">
        <f aca="false">IF($K42&lt;=0,I42,IF($B43="Travel",MAX(0,I42-Parameters!$B$13),IF(AND($B43="Work",$C43=6),MAX(0,I42-Parameters!$B$14),IF(AND($B43="Gather",$C43=6),MIN(Parameters!$B$10,I42+Parameters!$B$16),I42))))</f>
        <v>40</v>
      </c>
      <c r="J43" s="11" t="n">
        <f aca="false">IF($K42&lt;=0,J42,IF($B43="Travel",MAX(0,J42-Parameters!$B$13),IF(AND($B43="Work",$C43=7),MAX(0,J42-Parameters!$B$14),IF(AND($B43="Gather",$C43=7),MIN(Parameters!$B$10,J42+Parameters!$B$16),J42))))</f>
        <v>0</v>
      </c>
      <c r="K43" s="11" t="n">
        <f aca="false">IF($K42&lt;=0,0,MAX(0,K42-L43*Parameters!$B$6-IF($B43="Gather",Parameters!$B$17,0)))</f>
        <v>0</v>
      </c>
      <c r="L43" s="11" t="n">
        <f aca="false">IF($K42&lt;=0,0,MAX(0,IF($B43="Travel",Parameters!$B$13*7,IF($B43="Work",Parameters!$B$14,0))-(SUM(D42:J42)-SUM(D43:J43))))</f>
        <v>0</v>
      </c>
      <c r="M43" s="11" t="str">
        <f aca="false">IF(K43&lt;=0,"RUN OVER","alive")</f>
        <v>RUN OVER</v>
      </c>
    </row>
    <row r="44" customFormat="false" ht="15" hidden="false" customHeight="false" outlineLevel="0" collapsed="false">
      <c r="A44" s="11" t="n">
        <v>38</v>
      </c>
      <c r="B44" s="10" t="s">
        <v>110</v>
      </c>
      <c r="C44" s="10" t="n">
        <v>3</v>
      </c>
      <c r="D44" s="11" t="n">
        <f aca="false">IF($K43&lt;=0,D43,IF($B44="Travel",MAX(0,D43-Parameters!$B$13),IF(AND($B44="Work",$C44=1),MAX(0,D43-Parameters!$B$14),IF(AND($B44="Gather",$C44=1),MIN(Parameters!$B$10,D43+Parameters!$B$16),D43))))</f>
        <v>0</v>
      </c>
      <c r="E44" s="11" t="n">
        <f aca="false">IF($K43&lt;=0,E43,IF($B44="Travel",MAX(0,E43-Parameters!$B$13),IF(AND($B44="Work",$C44=2),MAX(0,E43-Parameters!$B$14),IF(AND($B44="Gather",$C44=2),MIN(Parameters!$B$10,E43+Parameters!$B$16),E43))))</f>
        <v>0</v>
      </c>
      <c r="F44" s="11" t="n">
        <f aca="false">IF($K43&lt;=0,F43,IF($B44="Travel",MAX(0,F43-Parameters!$B$13),IF(AND($B44="Work",$C44=3),MAX(0,F43-Parameters!$B$14),IF(AND($B44="Gather",$C44=3),MIN(Parameters!$B$10,F43+Parameters!$B$16),F43))))</f>
        <v>40</v>
      </c>
      <c r="G44" s="11" t="n">
        <f aca="false">IF($K43&lt;=0,G43,IF($B44="Travel",MAX(0,G43-Parameters!$B$13),IF(AND($B44="Work",$C44=4),MAX(0,G43-Parameters!$B$14),IF(AND($B44="Gather",$C44=4),MIN(Parameters!$B$10,G43+Parameters!$B$16),G43))))</f>
        <v>40</v>
      </c>
      <c r="H44" s="11" t="n">
        <f aca="false">IF($K43&lt;=0,H43,IF($B44="Travel",MAX(0,H43-Parameters!$B$13),IF(AND($B44="Work",$C44=5),MAX(0,H43-Parameters!$B$14),IF(AND($B44="Gather",$C44=5),MIN(Parameters!$B$10,H43+Parameters!$B$16),H43))))</f>
        <v>40</v>
      </c>
      <c r="I44" s="11" t="n">
        <f aca="false">IF($K43&lt;=0,I43,IF($B44="Travel",MAX(0,I43-Parameters!$B$13),IF(AND($B44="Work",$C44=6),MAX(0,I43-Parameters!$B$14),IF(AND($B44="Gather",$C44=6),MIN(Parameters!$B$10,I43+Parameters!$B$16),I43))))</f>
        <v>40</v>
      </c>
      <c r="J44" s="11" t="n">
        <f aca="false">IF($K43&lt;=0,J43,IF($B44="Travel",MAX(0,J43-Parameters!$B$13),IF(AND($B44="Work",$C44=7),MAX(0,J43-Parameters!$B$14),IF(AND($B44="Gather",$C44=7),MIN(Parameters!$B$10,J43+Parameters!$B$16),J43))))</f>
        <v>0</v>
      </c>
      <c r="K44" s="11" t="n">
        <f aca="false">IF($K43&lt;=0,0,MAX(0,K43-L44*Parameters!$B$6-IF($B44="Gather",Parameters!$B$17,0)))</f>
        <v>0</v>
      </c>
      <c r="L44" s="11" t="n">
        <f aca="false">IF($K43&lt;=0,0,MAX(0,IF($B44="Travel",Parameters!$B$13*7,IF($B44="Work",Parameters!$B$14,0))-(SUM(D43:J43)-SUM(D44:J44))))</f>
        <v>0</v>
      </c>
      <c r="M44" s="11" t="str">
        <f aca="false">IF(K44&lt;=0,"RUN OVER","alive")</f>
        <v>RUN OVER</v>
      </c>
    </row>
    <row r="45" customFormat="false" ht="15" hidden="false" customHeight="false" outlineLevel="0" collapsed="false">
      <c r="A45" s="11" t="n">
        <v>39</v>
      </c>
      <c r="B45" s="10" t="s">
        <v>110</v>
      </c>
      <c r="C45" s="10" t="n">
        <v>3</v>
      </c>
      <c r="D45" s="11" t="n">
        <f aca="false">IF($K44&lt;=0,D44,IF($B45="Travel",MAX(0,D44-Parameters!$B$13),IF(AND($B45="Work",$C45=1),MAX(0,D44-Parameters!$B$14),IF(AND($B45="Gather",$C45=1),MIN(Parameters!$B$10,D44+Parameters!$B$16),D44))))</f>
        <v>0</v>
      </c>
      <c r="E45" s="11" t="n">
        <f aca="false">IF($K44&lt;=0,E44,IF($B45="Travel",MAX(0,E44-Parameters!$B$13),IF(AND($B45="Work",$C45=2),MAX(0,E44-Parameters!$B$14),IF(AND($B45="Gather",$C45=2),MIN(Parameters!$B$10,E44+Parameters!$B$16),E44))))</f>
        <v>0</v>
      </c>
      <c r="F45" s="11" t="n">
        <f aca="false">IF($K44&lt;=0,F44,IF($B45="Travel",MAX(0,F44-Parameters!$B$13),IF(AND($B45="Work",$C45=3),MAX(0,F44-Parameters!$B$14),IF(AND($B45="Gather",$C45=3),MIN(Parameters!$B$10,F44+Parameters!$B$16),F44))))</f>
        <v>40</v>
      </c>
      <c r="G45" s="11" t="n">
        <f aca="false">IF($K44&lt;=0,G44,IF($B45="Travel",MAX(0,G44-Parameters!$B$13),IF(AND($B45="Work",$C45=4),MAX(0,G44-Parameters!$B$14),IF(AND($B45="Gather",$C45=4),MIN(Parameters!$B$10,G44+Parameters!$B$16),G44))))</f>
        <v>40</v>
      </c>
      <c r="H45" s="11" t="n">
        <f aca="false">IF($K44&lt;=0,H44,IF($B45="Travel",MAX(0,H44-Parameters!$B$13),IF(AND($B45="Work",$C45=5),MAX(0,H44-Parameters!$B$14),IF(AND($B45="Gather",$C45=5),MIN(Parameters!$B$10,H44+Parameters!$B$16),H44))))</f>
        <v>40</v>
      </c>
      <c r="I45" s="11" t="n">
        <f aca="false">IF($K44&lt;=0,I44,IF($B45="Travel",MAX(0,I44-Parameters!$B$13),IF(AND($B45="Work",$C45=6),MAX(0,I44-Parameters!$B$14),IF(AND($B45="Gather",$C45=6),MIN(Parameters!$B$10,I44+Parameters!$B$16),I44))))</f>
        <v>40</v>
      </c>
      <c r="J45" s="11" t="n">
        <f aca="false">IF($K44&lt;=0,J44,IF($B45="Travel",MAX(0,J44-Parameters!$B$13),IF(AND($B45="Work",$C45=7),MAX(0,J44-Parameters!$B$14),IF(AND($B45="Gather",$C45=7),MIN(Parameters!$B$10,J44+Parameters!$B$16),J44))))</f>
        <v>0</v>
      </c>
      <c r="K45" s="11" t="n">
        <f aca="false">IF($K44&lt;=0,0,MAX(0,K44-L45*Parameters!$B$6-IF($B45="Gather",Parameters!$B$17,0)))</f>
        <v>0</v>
      </c>
      <c r="L45" s="11" t="n">
        <f aca="false">IF($K44&lt;=0,0,MAX(0,IF($B45="Travel",Parameters!$B$13*7,IF($B45="Work",Parameters!$B$14,0))-(SUM(D44:J44)-SUM(D45:J45))))</f>
        <v>0</v>
      </c>
      <c r="M45" s="11" t="str">
        <f aca="false">IF(K45&lt;=0,"RUN OVER","alive")</f>
        <v>RUN OVER</v>
      </c>
    </row>
    <row r="46" customFormat="false" ht="15" hidden="false" customHeight="false" outlineLevel="0" collapsed="false">
      <c r="A46" s="11" t="n">
        <v>40</v>
      </c>
      <c r="B46" s="10" t="s">
        <v>110</v>
      </c>
      <c r="C46" s="10" t="n">
        <v>3</v>
      </c>
      <c r="D46" s="11" t="n">
        <f aca="false">IF($K45&lt;=0,D45,IF($B46="Travel",MAX(0,D45-Parameters!$B$13),IF(AND($B46="Work",$C46=1),MAX(0,D45-Parameters!$B$14),IF(AND($B46="Gather",$C46=1),MIN(Parameters!$B$10,D45+Parameters!$B$16),D45))))</f>
        <v>0</v>
      </c>
      <c r="E46" s="11" t="n">
        <f aca="false">IF($K45&lt;=0,E45,IF($B46="Travel",MAX(0,E45-Parameters!$B$13),IF(AND($B46="Work",$C46=2),MAX(0,E45-Parameters!$B$14),IF(AND($B46="Gather",$C46=2),MIN(Parameters!$B$10,E45+Parameters!$B$16),E45))))</f>
        <v>0</v>
      </c>
      <c r="F46" s="11" t="n">
        <f aca="false">IF($K45&lt;=0,F45,IF($B46="Travel",MAX(0,F45-Parameters!$B$13),IF(AND($B46="Work",$C46=3),MAX(0,F45-Parameters!$B$14),IF(AND($B46="Gather",$C46=3),MIN(Parameters!$B$10,F45+Parameters!$B$16),F45))))</f>
        <v>40</v>
      </c>
      <c r="G46" s="11" t="n">
        <f aca="false">IF($K45&lt;=0,G45,IF($B46="Travel",MAX(0,G45-Parameters!$B$13),IF(AND($B46="Work",$C46=4),MAX(0,G45-Parameters!$B$14),IF(AND($B46="Gather",$C46=4),MIN(Parameters!$B$10,G45+Parameters!$B$16),G45))))</f>
        <v>40</v>
      </c>
      <c r="H46" s="11" t="n">
        <f aca="false">IF($K45&lt;=0,H45,IF($B46="Travel",MAX(0,H45-Parameters!$B$13),IF(AND($B46="Work",$C46=5),MAX(0,H45-Parameters!$B$14),IF(AND($B46="Gather",$C46=5),MIN(Parameters!$B$10,H45+Parameters!$B$16),H45))))</f>
        <v>40</v>
      </c>
      <c r="I46" s="11" t="n">
        <f aca="false">IF($K45&lt;=0,I45,IF($B46="Travel",MAX(0,I45-Parameters!$B$13),IF(AND($B46="Work",$C46=6),MAX(0,I45-Parameters!$B$14),IF(AND($B46="Gather",$C46=6),MIN(Parameters!$B$10,I45+Parameters!$B$16),I45))))</f>
        <v>40</v>
      </c>
      <c r="J46" s="11" t="n">
        <f aca="false">IF($K45&lt;=0,J45,IF($B46="Travel",MAX(0,J45-Parameters!$B$13),IF(AND($B46="Work",$C46=7),MAX(0,J45-Parameters!$B$14),IF(AND($B46="Gather",$C46=7),MIN(Parameters!$B$10,J45+Parameters!$B$16),J45))))</f>
        <v>0</v>
      </c>
      <c r="K46" s="11" t="n">
        <f aca="false">IF($K45&lt;=0,0,MAX(0,K45-L46*Parameters!$B$6-IF($B46="Gather",Parameters!$B$17,0)))</f>
        <v>0</v>
      </c>
      <c r="L46" s="11" t="n">
        <f aca="false">IF($K45&lt;=0,0,MAX(0,IF($B46="Travel",Parameters!$B$13*7,IF($B46="Work",Parameters!$B$14,0))-(SUM(D45:J45)-SUM(D46:J46))))</f>
        <v>0</v>
      </c>
      <c r="M46" s="11" t="str">
        <f aca="false">IF(K46&lt;=0,"RUN OVER","alive")</f>
        <v>RUN OVER</v>
      </c>
    </row>
    <row r="47" customFormat="false" ht="15" hidden="false" customHeight="false" outlineLevel="0" collapsed="false">
      <c r="A47" s="11" t="n">
        <v>41</v>
      </c>
      <c r="B47" s="10" t="s">
        <v>110</v>
      </c>
      <c r="C47" s="10" t="n">
        <v>3</v>
      </c>
      <c r="D47" s="11" t="n">
        <f aca="false">IF($K46&lt;=0,D46,IF($B47="Travel",MAX(0,D46-Parameters!$B$13),IF(AND($B47="Work",$C47=1),MAX(0,D46-Parameters!$B$14),IF(AND($B47="Gather",$C47=1),MIN(Parameters!$B$10,D46+Parameters!$B$16),D46))))</f>
        <v>0</v>
      </c>
      <c r="E47" s="11" t="n">
        <f aca="false">IF($K46&lt;=0,E46,IF($B47="Travel",MAX(0,E46-Parameters!$B$13),IF(AND($B47="Work",$C47=2),MAX(0,E46-Parameters!$B$14),IF(AND($B47="Gather",$C47=2),MIN(Parameters!$B$10,E46+Parameters!$B$16),E46))))</f>
        <v>0</v>
      </c>
      <c r="F47" s="11" t="n">
        <f aca="false">IF($K46&lt;=0,F46,IF($B47="Travel",MAX(0,F46-Parameters!$B$13),IF(AND($B47="Work",$C47=3),MAX(0,F46-Parameters!$B$14),IF(AND($B47="Gather",$C47=3),MIN(Parameters!$B$10,F46+Parameters!$B$16),F46))))</f>
        <v>40</v>
      </c>
      <c r="G47" s="11" t="n">
        <f aca="false">IF($K46&lt;=0,G46,IF($B47="Travel",MAX(0,G46-Parameters!$B$13),IF(AND($B47="Work",$C47=4),MAX(0,G46-Parameters!$B$14),IF(AND($B47="Gather",$C47=4),MIN(Parameters!$B$10,G46+Parameters!$B$16),G46))))</f>
        <v>40</v>
      </c>
      <c r="H47" s="11" t="n">
        <f aca="false">IF($K46&lt;=0,H46,IF($B47="Travel",MAX(0,H46-Parameters!$B$13),IF(AND($B47="Work",$C47=5),MAX(0,H46-Parameters!$B$14),IF(AND($B47="Gather",$C47=5),MIN(Parameters!$B$10,H46+Parameters!$B$16),H46))))</f>
        <v>40</v>
      </c>
      <c r="I47" s="11" t="n">
        <f aca="false">IF($K46&lt;=0,I46,IF($B47="Travel",MAX(0,I46-Parameters!$B$13),IF(AND($B47="Work",$C47=6),MAX(0,I46-Parameters!$B$14),IF(AND($B47="Gather",$C47=6),MIN(Parameters!$B$10,I46+Parameters!$B$16),I46))))</f>
        <v>40</v>
      </c>
      <c r="J47" s="11" t="n">
        <f aca="false">IF($K46&lt;=0,J46,IF($B47="Travel",MAX(0,J46-Parameters!$B$13),IF(AND($B47="Work",$C47=7),MAX(0,J46-Parameters!$B$14),IF(AND($B47="Gather",$C47=7),MIN(Parameters!$B$10,J46+Parameters!$B$16),J46))))</f>
        <v>0</v>
      </c>
      <c r="K47" s="11" t="n">
        <f aca="false">IF($K46&lt;=0,0,MAX(0,K46-L47*Parameters!$B$6-IF($B47="Gather",Parameters!$B$17,0)))</f>
        <v>0</v>
      </c>
      <c r="L47" s="11" t="n">
        <f aca="false">IF($K46&lt;=0,0,MAX(0,IF($B47="Travel",Parameters!$B$13*7,IF($B47="Work",Parameters!$B$14,0))-(SUM(D46:J46)-SUM(D47:J47))))</f>
        <v>0</v>
      </c>
      <c r="M47" s="11" t="str">
        <f aca="false">IF(K47&lt;=0,"RUN OVER","alive")</f>
        <v>RUN OVER</v>
      </c>
    </row>
    <row r="48" customFormat="false" ht="15" hidden="false" customHeight="false" outlineLevel="0" collapsed="false">
      <c r="A48" s="11" t="n">
        <v>42</v>
      </c>
      <c r="B48" s="10" t="s">
        <v>110</v>
      </c>
      <c r="C48" s="10" t="n">
        <v>3</v>
      </c>
      <c r="D48" s="11" t="n">
        <f aca="false">IF($K47&lt;=0,D47,IF($B48="Travel",MAX(0,D47-Parameters!$B$13),IF(AND($B48="Work",$C48=1),MAX(0,D47-Parameters!$B$14),IF(AND($B48="Gather",$C48=1),MIN(Parameters!$B$10,D47+Parameters!$B$16),D47))))</f>
        <v>0</v>
      </c>
      <c r="E48" s="11" t="n">
        <f aca="false">IF($K47&lt;=0,E47,IF($B48="Travel",MAX(0,E47-Parameters!$B$13),IF(AND($B48="Work",$C48=2),MAX(0,E47-Parameters!$B$14),IF(AND($B48="Gather",$C48=2),MIN(Parameters!$B$10,E47+Parameters!$B$16),E47))))</f>
        <v>0</v>
      </c>
      <c r="F48" s="11" t="n">
        <f aca="false">IF($K47&lt;=0,F47,IF($B48="Travel",MAX(0,F47-Parameters!$B$13),IF(AND($B48="Work",$C48=3),MAX(0,F47-Parameters!$B$14),IF(AND($B48="Gather",$C48=3),MIN(Parameters!$B$10,F47+Parameters!$B$16),F47))))</f>
        <v>40</v>
      </c>
      <c r="G48" s="11" t="n">
        <f aca="false">IF($K47&lt;=0,G47,IF($B48="Travel",MAX(0,G47-Parameters!$B$13),IF(AND($B48="Work",$C48=4),MAX(0,G47-Parameters!$B$14),IF(AND($B48="Gather",$C48=4),MIN(Parameters!$B$10,G47+Parameters!$B$16),G47))))</f>
        <v>40</v>
      </c>
      <c r="H48" s="11" t="n">
        <f aca="false">IF($K47&lt;=0,H47,IF($B48="Travel",MAX(0,H47-Parameters!$B$13),IF(AND($B48="Work",$C48=5),MAX(0,H47-Parameters!$B$14),IF(AND($B48="Gather",$C48=5),MIN(Parameters!$B$10,H47+Parameters!$B$16),H47))))</f>
        <v>40</v>
      </c>
      <c r="I48" s="11" t="n">
        <f aca="false">IF($K47&lt;=0,I47,IF($B48="Travel",MAX(0,I47-Parameters!$B$13),IF(AND($B48="Work",$C48=6),MAX(0,I47-Parameters!$B$14),IF(AND($B48="Gather",$C48=6),MIN(Parameters!$B$10,I47+Parameters!$B$16),I47))))</f>
        <v>40</v>
      </c>
      <c r="J48" s="11" t="n">
        <f aca="false">IF($K47&lt;=0,J47,IF($B48="Travel",MAX(0,J47-Parameters!$B$13),IF(AND($B48="Work",$C48=7),MAX(0,J47-Parameters!$B$14),IF(AND($B48="Gather",$C48=7),MIN(Parameters!$B$10,J47+Parameters!$B$16),J47))))</f>
        <v>0</v>
      </c>
      <c r="K48" s="11" t="n">
        <f aca="false">IF($K47&lt;=0,0,MAX(0,K47-L48*Parameters!$B$6-IF($B48="Gather",Parameters!$B$17,0)))</f>
        <v>0</v>
      </c>
      <c r="L48" s="11" t="n">
        <f aca="false">IF($K47&lt;=0,0,MAX(0,IF($B48="Travel",Parameters!$B$13*7,IF($B48="Work",Parameters!$B$14,0))-(SUM(D47:J47)-SUM(D48:J48))))</f>
        <v>0</v>
      </c>
      <c r="M48" s="11" t="str">
        <f aca="false">IF(K48&lt;=0,"RUN OVER","alive")</f>
        <v>RUN OVER</v>
      </c>
    </row>
    <row r="49" customFormat="false" ht="15" hidden="false" customHeight="false" outlineLevel="0" collapsed="false">
      <c r="A49" s="11" t="n">
        <v>43</v>
      </c>
      <c r="B49" s="10" t="s">
        <v>110</v>
      </c>
      <c r="C49" s="10" t="n">
        <v>1</v>
      </c>
      <c r="D49" s="11" t="n">
        <f aca="false">IF($K48&lt;=0,D48,IF($B49="Travel",MAX(0,D48-Parameters!$B$13),IF(AND($B49="Work",$C49=1),MAX(0,D48-Parameters!$B$14),IF(AND($B49="Gather",$C49=1),MIN(Parameters!$B$10,D48+Parameters!$B$16),D48))))</f>
        <v>0</v>
      </c>
      <c r="E49" s="11" t="n">
        <f aca="false">IF($K48&lt;=0,E48,IF($B49="Travel",MAX(0,E48-Parameters!$B$13),IF(AND($B49="Work",$C49=2),MAX(0,E48-Parameters!$B$14),IF(AND($B49="Gather",$C49=2),MIN(Parameters!$B$10,E48+Parameters!$B$16),E48))))</f>
        <v>0</v>
      </c>
      <c r="F49" s="11" t="n">
        <f aca="false">IF($K48&lt;=0,F48,IF($B49="Travel",MAX(0,F48-Parameters!$B$13),IF(AND($B49="Work",$C49=3),MAX(0,F48-Parameters!$B$14),IF(AND($B49="Gather",$C49=3),MIN(Parameters!$B$10,F48+Parameters!$B$16),F48))))</f>
        <v>40</v>
      </c>
      <c r="G49" s="11" t="n">
        <f aca="false">IF($K48&lt;=0,G48,IF($B49="Travel",MAX(0,G48-Parameters!$B$13),IF(AND($B49="Work",$C49=4),MAX(0,G48-Parameters!$B$14),IF(AND($B49="Gather",$C49=4),MIN(Parameters!$B$10,G48+Parameters!$B$16),G48))))</f>
        <v>40</v>
      </c>
      <c r="H49" s="11" t="n">
        <f aca="false">IF($K48&lt;=0,H48,IF($B49="Travel",MAX(0,H48-Parameters!$B$13),IF(AND($B49="Work",$C49=5),MAX(0,H48-Parameters!$B$14),IF(AND($B49="Gather",$C49=5),MIN(Parameters!$B$10,H48+Parameters!$B$16),H48))))</f>
        <v>40</v>
      </c>
      <c r="I49" s="11" t="n">
        <f aca="false">IF($K48&lt;=0,I48,IF($B49="Travel",MAX(0,I48-Parameters!$B$13),IF(AND($B49="Work",$C49=6),MAX(0,I48-Parameters!$B$14),IF(AND($B49="Gather",$C49=6),MIN(Parameters!$B$10,I48+Parameters!$B$16),I48))))</f>
        <v>40</v>
      </c>
      <c r="J49" s="11" t="n">
        <f aca="false">IF($K48&lt;=0,J48,IF($B49="Travel",MAX(0,J48-Parameters!$B$13),IF(AND($B49="Work",$C49=7),MAX(0,J48-Parameters!$B$14),IF(AND($B49="Gather",$C49=7),MIN(Parameters!$B$10,J48+Parameters!$B$16),J48))))</f>
        <v>0</v>
      </c>
      <c r="K49" s="11" t="n">
        <f aca="false">IF($K48&lt;=0,0,MAX(0,K48-L49*Parameters!$B$6-IF($B49="Gather",Parameters!$B$17,0)))</f>
        <v>0</v>
      </c>
      <c r="L49" s="11" t="n">
        <f aca="false">IF($K48&lt;=0,0,MAX(0,IF($B49="Travel",Parameters!$B$13*7,IF($B49="Work",Parameters!$B$14,0))-(SUM(D48:J48)-SUM(D49:J49))))</f>
        <v>0</v>
      </c>
      <c r="M49" s="11" t="str">
        <f aca="false">IF(K49&lt;=0,"RUN OVER","alive")</f>
        <v>RUN OVER</v>
      </c>
    </row>
    <row r="50" customFormat="false" ht="15" hidden="false" customHeight="false" outlineLevel="0" collapsed="false">
      <c r="A50" s="11" t="n">
        <v>44</v>
      </c>
      <c r="B50" s="10" t="s">
        <v>110</v>
      </c>
      <c r="C50" s="10" t="n">
        <v>1</v>
      </c>
      <c r="D50" s="11" t="n">
        <f aca="false">IF($K49&lt;=0,D49,IF($B50="Travel",MAX(0,D49-Parameters!$B$13),IF(AND($B50="Work",$C50=1),MAX(0,D49-Parameters!$B$14),IF(AND($B50="Gather",$C50=1),MIN(Parameters!$B$10,D49+Parameters!$B$16),D49))))</f>
        <v>0</v>
      </c>
      <c r="E50" s="11" t="n">
        <f aca="false">IF($K49&lt;=0,E49,IF($B50="Travel",MAX(0,E49-Parameters!$B$13),IF(AND($B50="Work",$C50=2),MAX(0,E49-Parameters!$B$14),IF(AND($B50="Gather",$C50=2),MIN(Parameters!$B$10,E49+Parameters!$B$16),E49))))</f>
        <v>0</v>
      </c>
      <c r="F50" s="11" t="n">
        <f aca="false">IF($K49&lt;=0,F49,IF($B50="Travel",MAX(0,F49-Parameters!$B$13),IF(AND($B50="Work",$C50=3),MAX(0,F49-Parameters!$B$14),IF(AND($B50="Gather",$C50=3),MIN(Parameters!$B$10,F49+Parameters!$B$16),F49))))</f>
        <v>40</v>
      </c>
      <c r="G50" s="11" t="n">
        <f aca="false">IF($K49&lt;=0,G49,IF($B50="Travel",MAX(0,G49-Parameters!$B$13),IF(AND($B50="Work",$C50=4),MAX(0,G49-Parameters!$B$14),IF(AND($B50="Gather",$C50=4),MIN(Parameters!$B$10,G49+Parameters!$B$16),G49))))</f>
        <v>40</v>
      </c>
      <c r="H50" s="11" t="n">
        <f aca="false">IF($K49&lt;=0,H49,IF($B50="Travel",MAX(0,H49-Parameters!$B$13),IF(AND($B50="Work",$C50=5),MAX(0,H49-Parameters!$B$14),IF(AND($B50="Gather",$C50=5),MIN(Parameters!$B$10,H49+Parameters!$B$16),H49))))</f>
        <v>40</v>
      </c>
      <c r="I50" s="11" t="n">
        <f aca="false">IF($K49&lt;=0,I49,IF($B50="Travel",MAX(0,I49-Parameters!$B$13),IF(AND($B50="Work",$C50=6),MAX(0,I49-Parameters!$B$14),IF(AND($B50="Gather",$C50=6),MIN(Parameters!$B$10,I49+Parameters!$B$16),I49))))</f>
        <v>40</v>
      </c>
      <c r="J50" s="11" t="n">
        <f aca="false">IF($K49&lt;=0,J49,IF($B50="Travel",MAX(0,J49-Parameters!$B$13),IF(AND($B50="Work",$C50=7),MAX(0,J49-Parameters!$B$14),IF(AND($B50="Gather",$C50=7),MIN(Parameters!$B$10,J49+Parameters!$B$16),J49))))</f>
        <v>0</v>
      </c>
      <c r="K50" s="11" t="n">
        <f aca="false">IF($K49&lt;=0,0,MAX(0,K49-L50*Parameters!$B$6-IF($B50="Gather",Parameters!$B$17,0)))</f>
        <v>0</v>
      </c>
      <c r="L50" s="11" t="n">
        <f aca="false">IF($K49&lt;=0,0,MAX(0,IF($B50="Travel",Parameters!$B$13*7,IF($B50="Work",Parameters!$B$14,0))-(SUM(D49:J49)-SUM(D50:J50))))</f>
        <v>0</v>
      </c>
      <c r="M50" s="11" t="str">
        <f aca="false">IF(K50&lt;=0,"RUN OVER","alive")</f>
        <v>RUN OVER</v>
      </c>
    </row>
    <row r="51" customFormat="false" ht="15" hidden="false" customHeight="false" outlineLevel="0" collapsed="false">
      <c r="A51" s="11" t="n">
        <v>45</v>
      </c>
      <c r="B51" s="10" t="s">
        <v>110</v>
      </c>
      <c r="C51" s="10" t="n">
        <v>1</v>
      </c>
      <c r="D51" s="11" t="n">
        <f aca="false">IF($K50&lt;=0,D50,IF($B51="Travel",MAX(0,D50-Parameters!$B$13),IF(AND($B51="Work",$C51=1),MAX(0,D50-Parameters!$B$14),IF(AND($B51="Gather",$C51=1),MIN(Parameters!$B$10,D50+Parameters!$B$16),D50))))</f>
        <v>0</v>
      </c>
      <c r="E51" s="11" t="n">
        <f aca="false">IF($K50&lt;=0,E50,IF($B51="Travel",MAX(0,E50-Parameters!$B$13),IF(AND($B51="Work",$C51=2),MAX(0,E50-Parameters!$B$14),IF(AND($B51="Gather",$C51=2),MIN(Parameters!$B$10,E50+Parameters!$B$16),E50))))</f>
        <v>0</v>
      </c>
      <c r="F51" s="11" t="n">
        <f aca="false">IF($K50&lt;=0,F50,IF($B51="Travel",MAX(0,F50-Parameters!$B$13),IF(AND($B51="Work",$C51=3),MAX(0,F50-Parameters!$B$14),IF(AND($B51="Gather",$C51=3),MIN(Parameters!$B$10,F50+Parameters!$B$16),F50))))</f>
        <v>40</v>
      </c>
      <c r="G51" s="11" t="n">
        <f aca="false">IF($K50&lt;=0,G50,IF($B51="Travel",MAX(0,G50-Parameters!$B$13),IF(AND($B51="Work",$C51=4),MAX(0,G50-Parameters!$B$14),IF(AND($B51="Gather",$C51=4),MIN(Parameters!$B$10,G50+Parameters!$B$16),G50))))</f>
        <v>40</v>
      </c>
      <c r="H51" s="11" t="n">
        <f aca="false">IF($K50&lt;=0,H50,IF($B51="Travel",MAX(0,H50-Parameters!$B$13),IF(AND($B51="Work",$C51=5),MAX(0,H50-Parameters!$B$14),IF(AND($B51="Gather",$C51=5),MIN(Parameters!$B$10,H50+Parameters!$B$16),H50))))</f>
        <v>40</v>
      </c>
      <c r="I51" s="11" t="n">
        <f aca="false">IF($K50&lt;=0,I50,IF($B51="Travel",MAX(0,I50-Parameters!$B$13),IF(AND($B51="Work",$C51=6),MAX(0,I50-Parameters!$B$14),IF(AND($B51="Gather",$C51=6),MIN(Parameters!$B$10,I50+Parameters!$B$16),I50))))</f>
        <v>40</v>
      </c>
      <c r="J51" s="11" t="n">
        <f aca="false">IF($K50&lt;=0,J50,IF($B51="Travel",MAX(0,J50-Parameters!$B$13),IF(AND($B51="Work",$C51=7),MAX(0,J50-Parameters!$B$14),IF(AND($B51="Gather",$C51=7),MIN(Parameters!$B$10,J50+Parameters!$B$16),J50))))</f>
        <v>0</v>
      </c>
      <c r="K51" s="11" t="n">
        <f aca="false">IF($K50&lt;=0,0,MAX(0,K50-L51*Parameters!$B$6-IF($B51="Gather",Parameters!$B$17,0)))</f>
        <v>0</v>
      </c>
      <c r="L51" s="11" t="n">
        <f aca="false">IF($K50&lt;=0,0,MAX(0,IF($B51="Travel",Parameters!$B$13*7,IF($B51="Work",Parameters!$B$14,0))-(SUM(D50:J50)-SUM(D51:J51))))</f>
        <v>0</v>
      </c>
      <c r="M51" s="11" t="str">
        <f aca="false">IF(K51&lt;=0,"RUN OVER","alive")</f>
        <v>RUN OVER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13" t="s">
        <v>120</v>
      </c>
      <c r="B4" s="13" t="s">
        <v>121</v>
      </c>
      <c r="C4" s="13" t="s">
        <v>122</v>
      </c>
      <c r="D4" s="13" t="s">
        <v>123</v>
      </c>
      <c r="E4" s="13" t="s">
        <v>124</v>
      </c>
      <c r="F4" s="13" t="s">
        <v>125</v>
      </c>
    </row>
    <row r="5" customFormat="false" ht="15" hidden="false" customHeight="false" outlineLevel="0" collapsed="false">
      <c r="A5" s="11" t="n">
        <v>1</v>
      </c>
      <c r="B5" s="11" t="s">
        <v>126</v>
      </c>
      <c r="C5" s="18" t="s">
        <v>127</v>
      </c>
      <c r="D5" s="19" t="n">
        <f aca="false">'Run Ledger'!P6</f>
        <v>33</v>
      </c>
      <c r="E5" s="11" t="str">
        <f aca="false">Parameters!$B$21&amp;" to "&amp;Parameters!$B$22</f>
        <v>30 to 90</v>
      </c>
      <c r="F5" s="9" t="str">
        <f aca="false">IF(AND(D5&gt;=Parameters!$B$21,D5&lt;=Parameters!$B$22),"OK","CHECK")</f>
        <v>OK</v>
      </c>
    </row>
    <row r="6" customFormat="false" ht="15" hidden="false" customHeight="false" outlineLevel="0" collapsed="false">
      <c r="A6" s="11" t="n">
        <v>2</v>
      </c>
      <c r="B6" s="11" t="s">
        <v>128</v>
      </c>
      <c r="C6" s="18" t="s">
        <v>129</v>
      </c>
      <c r="D6" s="19" t="n">
        <f aca="false">'Build Comparison'!C16-'Build Comparison'!C15</f>
        <v>90</v>
      </c>
      <c r="E6" s="11" t="s">
        <v>130</v>
      </c>
      <c r="F6" s="9" t="str">
        <f aca="false">IF(D6&gt;0,"OK","CHECK")</f>
        <v>OK</v>
      </c>
    </row>
    <row r="7" customFormat="false" ht="15" hidden="false" customHeight="false" outlineLevel="0" collapsed="false">
      <c r="A7" s="11" t="n">
        <v>3</v>
      </c>
      <c r="B7" s="11" t="s">
        <v>131</v>
      </c>
      <c r="C7" s="18" t="s">
        <v>132</v>
      </c>
      <c r="D7" s="19" t="n">
        <f aca="false">'Build Comparison'!B26</f>
        <v>640</v>
      </c>
      <c r="E7" s="11" t="n">
        <f aca="false">Parameters!$B$25</f>
        <v>400</v>
      </c>
      <c r="F7" s="9" t="str">
        <f aca="false">IF(D7&gt;=Parameters!$B$25,"OK","CHECK")</f>
        <v>OK</v>
      </c>
    </row>
    <row r="8" customFormat="false" ht="15" hidden="false" customHeight="false" outlineLevel="0" collapsed="false">
      <c r="A8" s="11" t="n">
        <v>4</v>
      </c>
      <c r="B8" s="11" t="s">
        <v>133</v>
      </c>
      <c r="C8" s="18" t="s">
        <v>134</v>
      </c>
      <c r="D8" s="19" t="n">
        <f aca="false">COUNTIF('Build Comparison'!B6:H6,"&gt;="&amp;Parameters!$B$26)</f>
        <v>7</v>
      </c>
      <c r="E8" s="11" t="s">
        <v>135</v>
      </c>
      <c r="F8" s="9" t="str">
        <f aca="false">IF(D8&gt;=4,"OK","CHECK")</f>
        <v>OK</v>
      </c>
    </row>
    <row r="9" customFormat="false" ht="15" hidden="false" customHeight="false" outlineLevel="0" collapsed="false">
      <c r="A9" s="11" t="n">
        <v>5</v>
      </c>
      <c r="B9" s="11" t="s">
        <v>136</v>
      </c>
      <c r="C9" s="18" t="s">
        <v>137</v>
      </c>
      <c r="D9" s="19" t="n">
        <f aca="false">COUNTIF('Build Comparison'!B7:H7,"&gt;="&amp;Parameters!$B$26)</f>
        <v>1</v>
      </c>
      <c r="E9" s="11" t="s">
        <v>138</v>
      </c>
      <c r="F9" s="9" t="str">
        <f aca="false">IF(D9&lt;4,"OK","CHECK")</f>
        <v>OK</v>
      </c>
    </row>
    <row r="10" customFormat="false" ht="15" hidden="false" customHeight="false" outlineLevel="0" collapsed="false">
      <c r="A10" s="11" t="n">
        <v>6</v>
      </c>
      <c r="B10" s="11" t="s">
        <v>139</v>
      </c>
      <c r="C10" s="18" t="s">
        <v>140</v>
      </c>
      <c r="D10" s="19" t="n">
        <f aca="false">'Build Comparison'!B25</f>
        <v>100</v>
      </c>
      <c r="E10" s="11" t="s">
        <v>141</v>
      </c>
      <c r="F10" s="9" t="str">
        <f aca="false">IF(D10&lt;Parameters!$B$25,"OK","CHECK")</f>
        <v>OK</v>
      </c>
    </row>
    <row r="11" customFormat="false" ht="15" hidden="false" customHeight="false" outlineLevel="0" collapsed="false">
      <c r="A11" s="11" t="n">
        <v>7</v>
      </c>
      <c r="B11" s="11" t="s">
        <v>142</v>
      </c>
      <c r="C11" s="18" t="s">
        <v>143</v>
      </c>
      <c r="D11" s="19" t="n">
        <f aca="false">Parameters!$B$13*7/Parameters!$B$14</f>
        <v>13.125</v>
      </c>
      <c r="E11" s="11" t="s">
        <v>144</v>
      </c>
      <c r="F11" s="9" t="str">
        <f aca="false">IF(D11&gt;=5,"OK","CHECK")</f>
        <v>OK</v>
      </c>
    </row>
    <row r="12" customFormat="false" ht="15" hidden="false" customHeight="false" outlineLevel="0" collapsed="false">
      <c r="A12" s="11" t="n">
        <v>8</v>
      </c>
      <c r="B12" s="11" t="s">
        <v>145</v>
      </c>
      <c r="C12" s="18" t="s">
        <v>146</v>
      </c>
      <c r="D12" s="19" t="n">
        <f aca="false">Parameters!$B$17</f>
        <v>2</v>
      </c>
      <c r="E12" s="11" t="s">
        <v>147</v>
      </c>
      <c r="F12" s="9" t="str">
        <f aca="false">IF(D12&gt;0,"OK","CHECK")</f>
        <v>OK</v>
      </c>
    </row>
    <row r="13" customFormat="false" ht="15" hidden="false" customHeight="false" outlineLevel="0" collapsed="false">
      <c r="A13" s="11" t="n">
        <v>9</v>
      </c>
      <c r="B13" s="11" t="s">
        <v>148</v>
      </c>
      <c r="C13" s="18" t="s">
        <v>149</v>
      </c>
      <c r="D13" s="19" t="n">
        <f aca="false">'Run Ledger'!K51</f>
        <v>0</v>
      </c>
      <c r="E13" s="11" t="s">
        <v>150</v>
      </c>
      <c r="F13" s="9" t="str">
        <f aca="false">IF(D13&lt;=0,"OK","CHECK")</f>
        <v>OK</v>
      </c>
    </row>
    <row r="15" customFormat="false" ht="15" hidden="false" customHeight="false" outlineLevel="0" collapsed="false">
      <c r="B15" s="4" t="s">
        <v>151</v>
      </c>
      <c r="D15" s="20" t="n">
        <f aca="false">COUNTIF(F5:F13,"CHECK")</f>
        <v>0</v>
      </c>
      <c r="E15" s="2" t="s">
        <v>152</v>
      </c>
    </row>
    <row r="18" customFormat="false" ht="15" hidden="false" customHeight="false" outlineLevel="0" collapsed="false">
      <c r="B18" s="5" t="s">
        <v>153</v>
      </c>
    </row>
    <row r="19" customFormat="false" ht="15" hidden="false" customHeight="false" outlineLevel="0" collapsed="false">
      <c r="B19" s="3" t="s">
        <v>154</v>
      </c>
    </row>
    <row r="20" customFormat="false" ht="15" hidden="false" customHeight="false" outlineLevel="0" collapsed="false">
      <c r="B20" s="3" t="s">
        <v>155</v>
      </c>
    </row>
    <row r="21" customFormat="false" ht="15" hidden="false" customHeight="false" outlineLevel="0" collapsed="false">
      <c r="B21" s="3" t="s">
        <v>156</v>
      </c>
    </row>
    <row r="22" customFormat="false" ht="15" hidden="false" customHeight="false" outlineLevel="0" collapsed="false">
      <c r="B22" s="3" t="s">
        <v>157</v>
      </c>
    </row>
    <row r="23" customFormat="false" ht="15" hidden="false" customHeight="false" outlineLevel="0" collapsed="false">
      <c r="B23" s="3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2026-09-24T18:04:26Z</dcterms:created>
  <dc:creator>openpyxl</dc:creator>
  <dc:description/>
  <dc:language>en-US</dc:language>
  <cp:lastModifiedBy/>
  <dcterms:modified xsi:type="dcterms:W3CDTF">2026-09-24T18:04:26Z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